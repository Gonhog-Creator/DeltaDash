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exo 2" sheetId="1" r:id="rId5"/>
  </sheets>
  <definedNames/>
  <calcPr/>
</workbook>
</file>

<file path=xl/sharedStrings.xml><?xml version="1.0" encoding="utf-8"?>
<sst xmlns="http://schemas.openxmlformats.org/spreadsheetml/2006/main" count="157" uniqueCount="75">
  <si>
    <t>Formulario de Ensayos Internos DEV-FREX-CHAB-EINT-00</t>
  </si>
  <si>
    <t>Fecha</t>
  </si>
  <si>
    <t>27/06/2025</t>
  </si>
  <si>
    <t>Temperatura</t>
  </si>
  <si>
    <t>16.7°C</t>
  </si>
  <si>
    <t>Humedad</t>
  </si>
  <si>
    <t>Notas:</t>
  </si>
  <si>
    <t>Probeta</t>
  </si>
  <si>
    <t>Peso [g]</t>
  </si>
  <si>
    <t xml:space="preserve"> </t>
  </si>
  <si>
    <t>Delta Trauma (Respecto a Stop III) [mm]</t>
  </si>
  <si>
    <t>Delta Peso [g]</t>
  </si>
  <si>
    <t xml:space="preserve"> Porcentaje de Delta Trauma (Respecto a Stop III)</t>
  </si>
  <si>
    <t xml:space="preserve">Porcentaje de Delta Peso </t>
  </si>
  <si>
    <t xml:space="preserve">Espesor de la Placa [mm] </t>
  </si>
  <si>
    <t>Comp.</t>
  </si>
  <si>
    <t>Orden</t>
  </si>
  <si>
    <t>Disparos</t>
  </si>
  <si>
    <t>Calibre</t>
  </si>
  <si>
    <t>Perforo</t>
  </si>
  <si>
    <t>Trauma (mm)</t>
  </si>
  <si>
    <t>Capas</t>
  </si>
  <si>
    <t>Capas penetradas</t>
  </si>
  <si>
    <t>Capas Libres</t>
  </si>
  <si>
    <t>Porcentaje de penetracion (en capas)</t>
  </si>
  <si>
    <t>Porcentaje de penetracion maximo(con respecto a la cantidad de capas)</t>
  </si>
  <si>
    <t>Porcentaje de penetracion promedio</t>
  </si>
  <si>
    <t>Capas necesarias para 35% de penetracion maximo</t>
  </si>
  <si>
    <t xml:space="preserve">
Percentil 95 de capas perforadas
</t>
  </si>
  <si>
    <t>Trauma Promedio</t>
  </si>
  <si>
    <t>A</t>
  </si>
  <si>
    <t>40 Capas</t>
  </si>
  <si>
    <t>.44 MAG</t>
  </si>
  <si>
    <t>NO</t>
  </si>
  <si>
    <t>Geo</t>
  </si>
  <si>
    <t>5 Capas</t>
  </si>
  <si>
    <t>B</t>
  </si>
  <si>
    <t>Geo (sin coser)</t>
  </si>
  <si>
    <t>El geo se encuentra cosido</t>
  </si>
  <si>
    <t>El geo presenta roturas</t>
  </si>
  <si>
    <t>C</t>
  </si>
  <si>
    <t>Kevlar Antipunzante</t>
  </si>
  <si>
    <t>D</t>
  </si>
  <si>
    <t xml:space="preserve">PE. Espumado 3 mm (Amar.) </t>
  </si>
  <si>
    <t>NV</t>
  </si>
  <si>
    <t>E</t>
  </si>
  <si>
    <t>PE. Espumado 3 mm (Azul)</t>
  </si>
  <si>
    <t>F</t>
  </si>
  <si>
    <t>Kevlar + PE Espumado</t>
  </si>
  <si>
    <t>G</t>
  </si>
  <si>
    <t>Kevlar + PVC</t>
  </si>
  <si>
    <t>H</t>
  </si>
  <si>
    <t>Kevlar + EPDM</t>
  </si>
  <si>
    <t>I</t>
  </si>
  <si>
    <t>38 Capas</t>
  </si>
  <si>
    <t>PEAD</t>
  </si>
  <si>
    <t xml:space="preserve"> 2 Capas</t>
  </si>
  <si>
    <t>Ensayo nueva tela antitrauma</t>
  </si>
  <si>
    <t>Material</t>
  </si>
  <si>
    <t>Ancho [cm]</t>
  </si>
  <si>
    <t>Largo [cm]</t>
  </si>
  <si>
    <t>Espesor [cm]</t>
  </si>
  <si>
    <t>Masa [g]</t>
  </si>
  <si>
    <t>Volumen [cm3]</t>
  </si>
  <si>
    <t>Densidad [g/cm3]</t>
  </si>
  <si>
    <t>Area [cm2]</t>
  </si>
  <si>
    <t>Densidad Sup. [kg/m2]</t>
  </si>
  <si>
    <t>EPDM</t>
  </si>
  <si>
    <t>PE Espumado (Amarillo)</t>
  </si>
  <si>
    <t>Kevlar + PE Espumado (Amarillo)</t>
  </si>
  <si>
    <t>-</t>
  </si>
  <si>
    <t>PVC Espumado</t>
  </si>
  <si>
    <t>Kevlar + PVC Espumado</t>
  </si>
  <si>
    <t>Geotextil</t>
  </si>
  <si>
    <t>Kevlar Antipun.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</si>
</sst>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9">
    <font>
      <sz val="10.0"/>
      <color rgb="FF000000"/>
      <name val="Arial"/>
      <scheme val="minor"/>
    </font>
    <font>
      <b/>
      <i/>
      <sz val="20.0"/>
      <color theme="1"/>
      <name val="Arial"/>
      <scheme val="minor"/>
    </font>
    <font>
      <b/>
      <i/>
      <sz val="33.0"/>
      <color theme="1"/>
      <name val="Arial"/>
      <scheme val="minor"/>
    </font>
    <font>
      <color theme="1"/>
      <name val="Arial"/>
    </font>
    <font/>
    <font>
      <color theme="1"/>
      <name val="Arial"/>
      <scheme val="minor"/>
    </font>
    <font>
      <b/>
      <color theme="1"/>
      <name val="Arial"/>
    </font>
    <font>
      <b/>
      <sz val="11.0"/>
      <color rgb="FF00000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theme="7"/>
        <bgColor theme="7"/>
      </patternFill>
    </fill>
  </fills>
  <borders count="4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medium">
        <color rgb="FF000000"/>
      </right>
    </border>
    <border>
      <right style="thick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medium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medium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readingOrder="0" vertical="bottom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shrinkToFit="0" vertical="bottom" wrapText="1"/>
    </xf>
    <xf borderId="7" fillId="0" fontId="3" numFmtId="0" xfId="0" applyAlignment="1" applyBorder="1" applyFont="1">
      <alignment horizontal="center" readingOrder="0" shrinkToFit="0" vertical="bottom" wrapText="1"/>
    </xf>
    <xf borderId="8" fillId="0" fontId="3" numFmtId="0" xfId="0" applyAlignment="1" applyBorder="1" applyFont="1">
      <alignment horizontal="center" readingOrder="0" shrinkToFit="0" vertical="bottom" wrapText="1"/>
    </xf>
    <xf borderId="9" fillId="0" fontId="4" numFmtId="0" xfId="0" applyBorder="1" applyFont="1"/>
    <xf borderId="10" fillId="0" fontId="4" numFmtId="0" xfId="0" applyBorder="1" applyFont="1"/>
    <xf borderId="0" fillId="0" fontId="3" numFmtId="0" xfId="0" applyAlignment="1" applyFont="1">
      <alignment horizontal="center" readingOrder="0" shrinkToFit="0" vertical="bottom" wrapText="1"/>
    </xf>
    <xf borderId="6" fillId="0" fontId="5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shrinkToFit="0" vertical="bottom" wrapText="1"/>
    </xf>
    <xf borderId="11" fillId="0" fontId="4" numFmtId="0" xfId="0" applyBorder="1" applyFont="1"/>
    <xf borderId="12" fillId="0" fontId="4" numFmtId="0" xfId="0" applyBorder="1" applyFont="1"/>
    <xf borderId="13" fillId="0" fontId="3" numFmtId="0" xfId="0" applyAlignment="1" applyBorder="1" applyFont="1">
      <alignment horizontal="center" readingOrder="0" shrinkToFit="0" wrapText="1"/>
    </xf>
    <xf borderId="13" fillId="0" fontId="3" numFmtId="0" xfId="0" applyAlignment="1" applyBorder="1" applyFont="1">
      <alignment horizontal="center" shrinkToFit="0" wrapText="1"/>
    </xf>
    <xf borderId="14" fillId="0" fontId="3" numFmtId="0" xfId="0" applyAlignment="1" applyBorder="1" applyFont="1">
      <alignment horizontal="center" shrinkToFit="0" vertical="bottom" wrapText="1"/>
    </xf>
    <xf borderId="15" fillId="0" fontId="3" numFmtId="0" xfId="0" applyAlignment="1" applyBorder="1" applyFont="1">
      <alignment horizontal="center" shrinkToFit="0" vertical="bottom" wrapText="1"/>
    </xf>
    <xf borderId="16" fillId="0" fontId="3" numFmtId="0" xfId="0" applyAlignment="1" applyBorder="1" applyFont="1">
      <alignment horizontal="center" shrinkToFit="0" vertical="bottom" wrapText="1"/>
    </xf>
    <xf borderId="10" fillId="0" fontId="5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shrinkToFit="0" wrapText="1"/>
    </xf>
    <xf borderId="17" fillId="0" fontId="3" numFmtId="0" xfId="0" applyAlignment="1" applyBorder="1" applyFont="1">
      <alignment horizontal="center" readingOrder="0" vertical="center"/>
    </xf>
    <xf borderId="18" fillId="0" fontId="3" numFmtId="0" xfId="0" applyAlignment="1" applyBorder="1" applyFont="1">
      <alignment horizontal="center" readingOrder="0" vertical="center"/>
    </xf>
    <xf borderId="19" fillId="0" fontId="3" numFmtId="0" xfId="0" applyAlignment="1" applyBorder="1" applyFont="1">
      <alignment horizontal="center" readingOrder="0" vertical="center"/>
    </xf>
    <xf borderId="19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readingOrder="0" shrinkToFit="0" vertical="center" wrapText="1"/>
    </xf>
    <xf borderId="20" fillId="0" fontId="3" numFmtId="1" xfId="0" applyAlignment="1" applyBorder="1" applyFont="1" applyNumberFormat="1">
      <alignment horizontal="center" vertical="bottom"/>
    </xf>
    <xf borderId="20" fillId="0" fontId="3" numFmtId="10" xfId="0" applyAlignment="1" applyBorder="1" applyFont="1" applyNumberFormat="1">
      <alignment horizontal="center" vertical="bottom"/>
    </xf>
    <xf borderId="21" fillId="0" fontId="3" numFmtId="10" xfId="0" applyAlignment="1" applyBorder="1" applyFont="1" applyNumberFormat="1">
      <alignment horizontal="center" shrinkToFit="0" vertical="center" wrapText="1"/>
    </xf>
    <xf borderId="0" fillId="0" fontId="3" numFmtId="4" xfId="0" applyAlignment="1" applyFont="1" applyNumberFormat="1">
      <alignment horizontal="center" shrinkToFit="0" vertical="center" wrapText="1"/>
    </xf>
    <xf borderId="22" fillId="0" fontId="6" numFmtId="0" xfId="0" applyAlignment="1" applyBorder="1" applyFont="1">
      <alignment horizontal="center" shrinkToFit="0" vertical="center" wrapText="1"/>
    </xf>
    <xf borderId="23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7" fillId="0" fontId="6" numFmtId="164" xfId="0" applyAlignment="1" applyBorder="1" applyFont="1" applyNumberFormat="1">
      <alignment horizontal="center" vertical="center"/>
    </xf>
    <xf borderId="7" fillId="0" fontId="6" numFmtId="165" xfId="0" applyAlignment="1" applyBorder="1" applyFont="1" applyNumberFormat="1">
      <alignment horizontal="center" vertical="center"/>
    </xf>
    <xf borderId="18" fillId="0" fontId="3" numFmtId="165" xfId="0" applyAlignment="1" applyBorder="1" applyFont="1" applyNumberFormat="1">
      <alignment horizontal="center" readingOrder="0" vertical="center"/>
    </xf>
    <xf borderId="18" fillId="0" fontId="3" numFmtId="4" xfId="0" applyAlignment="1" applyBorder="1" applyFont="1" applyNumberFormat="1">
      <alignment horizontal="center" readingOrder="0" vertical="center"/>
    </xf>
    <xf borderId="0" fillId="0" fontId="3" numFmtId="165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right" readingOrder="0" vertical="bottom"/>
    </xf>
    <xf borderId="0" fillId="0" fontId="3" numFmtId="10" xfId="0" applyAlignment="1" applyFont="1" applyNumberFormat="1">
      <alignment horizontal="right" vertical="bottom"/>
    </xf>
    <xf borderId="0" fillId="0" fontId="3" numFmtId="10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17" fillId="0" fontId="4" numFmtId="0" xfId="0" applyBorder="1" applyFont="1"/>
    <xf borderId="5" fillId="0" fontId="4" numFmtId="0" xfId="0" applyBorder="1" applyFont="1"/>
    <xf borderId="24" fillId="0" fontId="3" numFmtId="0" xfId="0" applyAlignment="1" applyBorder="1" applyFont="1">
      <alignment horizontal="center" readingOrder="0" vertical="center"/>
    </xf>
    <xf borderId="25" fillId="0" fontId="3" numFmtId="0" xfId="0" applyAlignment="1" applyBorder="1" applyFont="1">
      <alignment horizontal="center" readingOrder="0" vertical="center"/>
    </xf>
    <xf borderId="21" fillId="0" fontId="4" numFmtId="0" xfId="0" applyBorder="1" applyFont="1"/>
    <xf borderId="22" fillId="0" fontId="4" numFmtId="0" xfId="0" applyBorder="1" applyFont="1"/>
    <xf borderId="26" fillId="0" fontId="4" numFmtId="0" xfId="0" applyBorder="1" applyFont="1"/>
    <xf borderId="25" fillId="0" fontId="6" numFmtId="0" xfId="0" applyAlignment="1" applyBorder="1" applyFont="1">
      <alignment horizontal="center" readingOrder="0" vertical="center"/>
    </xf>
    <xf borderId="25" fillId="0" fontId="3" numFmtId="0" xfId="0" applyAlignment="1" applyBorder="1" applyFont="1">
      <alignment horizontal="center" readingOrder="0" shrinkToFit="0" vertical="center" wrapText="1"/>
    </xf>
    <xf borderId="27" fillId="0" fontId="4" numFmtId="0" xfId="0" applyBorder="1" applyFont="1"/>
    <xf borderId="28" fillId="0" fontId="4" numFmtId="0" xfId="0" applyBorder="1" applyFont="1"/>
    <xf borderId="29" fillId="0" fontId="3" numFmtId="0" xfId="0" applyAlignment="1" applyBorder="1" applyFont="1">
      <alignment horizontal="center" readingOrder="0" vertical="center"/>
    </xf>
    <xf borderId="13" fillId="0" fontId="3" numFmtId="0" xfId="0" applyAlignment="1" applyBorder="1" applyFont="1">
      <alignment horizontal="center" readingOrder="0" shrinkToFit="0" vertical="center" wrapText="1"/>
    </xf>
    <xf borderId="14" fillId="0" fontId="3" numFmtId="1" xfId="0" applyAlignment="1" applyBorder="1" applyFont="1" applyNumberFormat="1">
      <alignment horizontal="center" vertical="bottom"/>
    </xf>
    <xf borderId="14" fillId="0" fontId="3" numFmtId="10" xfId="0" applyAlignment="1" applyBorder="1" applyFont="1" applyNumberFormat="1">
      <alignment horizontal="center" vertical="bottom"/>
    </xf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5" fillId="0" fontId="3" numFmtId="0" xfId="0" applyAlignment="1" applyBorder="1" applyFont="1">
      <alignment horizontal="center" readingOrder="0" vertical="center"/>
    </xf>
    <xf borderId="19" fillId="0" fontId="6" numFmtId="0" xfId="0" applyAlignment="1" applyBorder="1" applyFont="1">
      <alignment horizontal="center" readingOrder="0" vertical="center"/>
    </xf>
    <xf borderId="0" fillId="0" fontId="3" numFmtId="10" xfId="0" applyAlignment="1" applyFont="1" applyNumberFormat="1">
      <alignment horizontal="center" shrinkToFit="0" vertical="center" wrapText="1"/>
    </xf>
    <xf borderId="23" fillId="0" fontId="6" numFmtId="164" xfId="0" applyAlignment="1" applyBorder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center" vertical="center"/>
    </xf>
    <xf borderId="17" fillId="2" fontId="3" numFmtId="0" xfId="0" applyAlignment="1" applyBorder="1" applyFill="1" applyFont="1">
      <alignment horizontal="center" readingOrder="0" vertical="center"/>
    </xf>
    <xf borderId="5" fillId="2" fontId="3" numFmtId="0" xfId="0" applyAlignment="1" applyBorder="1" applyFont="1">
      <alignment horizontal="center" readingOrder="0" vertical="center"/>
    </xf>
    <xf borderId="30" fillId="2" fontId="3" numFmtId="0" xfId="0" applyAlignment="1" applyBorder="1" applyFont="1">
      <alignment horizontal="center" readingOrder="0" vertical="center"/>
    </xf>
    <xf borderId="19" fillId="2" fontId="3" numFmtId="0" xfId="0" applyAlignment="1" applyBorder="1" applyFont="1">
      <alignment horizontal="center" readingOrder="0" vertical="center"/>
    </xf>
    <xf borderId="19" fillId="2" fontId="3" numFmtId="0" xfId="0" applyAlignment="1" applyBorder="1" applyFont="1">
      <alignment horizontal="center" readingOrder="0" shrinkToFit="0" vertical="center" wrapText="1"/>
    </xf>
    <xf borderId="20" fillId="2" fontId="3" numFmtId="1" xfId="0" applyAlignment="1" applyBorder="1" applyFont="1" applyNumberFormat="1">
      <alignment horizontal="center" vertical="bottom"/>
    </xf>
    <xf borderId="20" fillId="2" fontId="3" numFmtId="10" xfId="0" applyAlignment="1" applyBorder="1" applyFont="1" applyNumberFormat="1">
      <alignment horizontal="center" vertical="bottom"/>
    </xf>
    <xf borderId="21" fillId="2" fontId="3" numFmtId="10" xfId="0" applyAlignment="1" applyBorder="1" applyFont="1" applyNumberFormat="1">
      <alignment horizontal="center" shrinkToFit="0" vertical="center" wrapText="1"/>
    </xf>
    <xf borderId="0" fillId="2" fontId="3" numFmtId="10" xfId="0" applyAlignment="1" applyFont="1" applyNumberFormat="1">
      <alignment horizontal="center" shrinkToFit="0" vertical="center" wrapText="1"/>
    </xf>
    <xf borderId="22" fillId="2" fontId="6" numFmtId="4" xfId="0" applyAlignment="1" applyBorder="1" applyFont="1" applyNumberFormat="1">
      <alignment horizontal="center" shrinkToFit="0" vertical="center" wrapText="1"/>
    </xf>
    <xf borderId="5" fillId="2" fontId="6" numFmtId="164" xfId="0" applyAlignment="1" applyBorder="1" applyFont="1" applyNumberFormat="1">
      <alignment horizontal="center" vertical="center"/>
    </xf>
    <xf borderId="0" fillId="0" fontId="3" numFmtId="1" xfId="0" applyAlignment="1" applyFont="1" applyNumberFormat="1">
      <alignment horizontal="center" readingOrder="0" shrinkToFit="0" vertical="center" wrapText="1"/>
    </xf>
    <xf borderId="24" fillId="2" fontId="3" numFmtId="0" xfId="0" applyAlignment="1" applyBorder="1" applyFont="1">
      <alignment horizontal="center" readingOrder="0" vertical="center"/>
    </xf>
    <xf borderId="25" fillId="2" fontId="3" numFmtId="0" xfId="0" applyAlignment="1" applyBorder="1" applyFont="1">
      <alignment horizontal="center" readingOrder="0" vertical="center"/>
    </xf>
    <xf borderId="25" fillId="2" fontId="3" numFmtId="0" xfId="0" applyAlignment="1" applyBorder="1" applyFont="1">
      <alignment horizontal="center" readingOrder="0" shrinkToFit="0" vertical="center" wrapText="1"/>
    </xf>
    <xf borderId="2" fillId="2" fontId="3" numFmtId="1" xfId="0" applyAlignment="1" applyBorder="1" applyFont="1" applyNumberFormat="1">
      <alignment horizontal="center" vertical="bottom"/>
    </xf>
    <xf borderId="25" fillId="2" fontId="6" numFmtId="0" xfId="0" applyAlignment="1" applyBorder="1" applyFont="1">
      <alignment horizontal="center" readingOrder="0" vertical="center"/>
    </xf>
    <xf borderId="13" fillId="2" fontId="3" numFmtId="0" xfId="0" applyAlignment="1" applyBorder="1" applyFont="1">
      <alignment horizontal="center" readingOrder="0" vertical="center"/>
    </xf>
    <xf borderId="29" fillId="2" fontId="3" numFmtId="0" xfId="0" applyAlignment="1" applyBorder="1" applyFont="1">
      <alignment horizontal="center" readingOrder="0" vertical="center"/>
    </xf>
    <xf borderId="13" fillId="2" fontId="3" numFmtId="0" xfId="0" applyAlignment="1" applyBorder="1" applyFont="1">
      <alignment horizontal="center" readingOrder="0" shrinkToFit="0" vertical="center" wrapText="1"/>
    </xf>
    <xf borderId="31" fillId="2" fontId="3" numFmtId="0" xfId="0" applyAlignment="1" applyBorder="1" applyFont="1">
      <alignment horizontal="center" readingOrder="0" vertical="center"/>
    </xf>
    <xf borderId="32" fillId="2" fontId="3" numFmtId="1" xfId="0" applyAlignment="1" applyBorder="1" applyFont="1" applyNumberFormat="1">
      <alignment horizontal="center" vertical="bottom"/>
    </xf>
    <xf borderId="14" fillId="2" fontId="3" numFmtId="10" xfId="0" applyAlignment="1" applyBorder="1" applyFont="1" applyNumberFormat="1">
      <alignment horizontal="center" vertical="bottom"/>
    </xf>
    <xf borderId="30" fillId="0" fontId="3" numFmtId="0" xfId="0" applyAlignment="1" applyBorder="1" applyFont="1">
      <alignment horizontal="center" readingOrder="0" vertical="center"/>
    </xf>
    <xf borderId="0" fillId="0" fontId="3" numFmtId="1" xfId="0" applyAlignment="1" applyFont="1" applyNumberFormat="1">
      <alignment horizontal="center" shrinkToFit="0" vertical="center" wrapText="1"/>
    </xf>
    <xf borderId="22" fillId="0" fontId="6" numFmtId="4" xfId="0" applyAlignment="1" applyBorder="1" applyFont="1" applyNumberFormat="1">
      <alignment horizontal="center" shrinkToFit="0" vertical="center" wrapText="1"/>
    </xf>
    <xf borderId="2" fillId="0" fontId="3" numFmtId="1" xfId="0" applyAlignment="1" applyBorder="1" applyFont="1" applyNumberFormat="1">
      <alignment horizontal="center" vertical="bottom"/>
    </xf>
    <xf borderId="31" fillId="0" fontId="3" numFmtId="0" xfId="0" applyAlignment="1" applyBorder="1" applyFont="1">
      <alignment horizontal="center" readingOrder="0" vertical="center"/>
    </xf>
    <xf borderId="32" fillId="0" fontId="3" numFmtId="1" xfId="0" applyAlignment="1" applyBorder="1" applyFont="1" applyNumberFormat="1">
      <alignment horizontal="center" vertical="bottom"/>
    </xf>
    <xf borderId="33" fillId="0" fontId="3" numFmtId="0" xfId="0" applyAlignment="1" applyBorder="1" applyFont="1">
      <alignment horizontal="center" readingOrder="0" vertical="center"/>
    </xf>
    <xf borderId="13" fillId="0" fontId="3" numFmtId="0" xfId="0" applyAlignment="1" applyBorder="1" applyFont="1">
      <alignment horizontal="center" readingOrder="0" vertical="center"/>
    </xf>
    <xf borderId="17" fillId="3" fontId="3" numFmtId="0" xfId="0" applyAlignment="1" applyBorder="1" applyFill="1" applyFont="1">
      <alignment horizontal="center" readingOrder="0" vertical="center"/>
    </xf>
    <xf borderId="5" fillId="3" fontId="3" numFmtId="0" xfId="0" applyAlignment="1" applyBorder="1" applyFont="1">
      <alignment horizontal="center" readingOrder="0" vertical="center"/>
    </xf>
    <xf borderId="33" fillId="3" fontId="3" numFmtId="0" xfId="0" applyAlignment="1" applyBorder="1" applyFont="1">
      <alignment horizontal="center" readingOrder="0" vertical="center"/>
    </xf>
    <xf borderId="19" fillId="3" fontId="3" numFmtId="0" xfId="0" applyAlignment="1" applyBorder="1" applyFont="1">
      <alignment horizontal="center" readingOrder="0" vertical="center"/>
    </xf>
    <xf borderId="19" fillId="3" fontId="3" numFmtId="0" xfId="0" applyAlignment="1" applyBorder="1" applyFont="1">
      <alignment horizontal="center" readingOrder="0" shrinkToFit="0" vertical="center" wrapText="1"/>
    </xf>
    <xf borderId="30" fillId="3" fontId="3" numFmtId="0" xfId="0" applyAlignment="1" applyBorder="1" applyFont="1">
      <alignment horizontal="center" readingOrder="0" vertical="center"/>
    </xf>
    <xf borderId="20" fillId="3" fontId="3" numFmtId="1" xfId="0" applyAlignment="1" applyBorder="1" applyFont="1" applyNumberFormat="1">
      <alignment horizontal="center" vertical="bottom"/>
    </xf>
    <xf borderId="20" fillId="3" fontId="3" numFmtId="10" xfId="0" applyAlignment="1" applyBorder="1" applyFont="1" applyNumberFormat="1">
      <alignment horizontal="center" vertical="bottom"/>
    </xf>
    <xf borderId="21" fillId="3" fontId="3" numFmtId="10" xfId="0" applyAlignment="1" applyBorder="1" applyFont="1" applyNumberFormat="1">
      <alignment horizontal="center" shrinkToFit="0" vertical="center" wrapText="1"/>
    </xf>
    <xf borderId="0" fillId="3" fontId="3" numFmtId="10" xfId="0" applyAlignment="1" applyFont="1" applyNumberFormat="1">
      <alignment horizontal="center" shrinkToFit="0" vertical="center" wrapText="1"/>
    </xf>
    <xf borderId="22" fillId="3" fontId="6" numFmtId="4" xfId="0" applyAlignment="1" applyBorder="1" applyFont="1" applyNumberFormat="1">
      <alignment horizontal="center" shrinkToFit="0" vertical="center" wrapText="1"/>
    </xf>
    <xf borderId="23" fillId="3" fontId="6" numFmtId="164" xfId="0" applyAlignment="1" applyBorder="1" applyFont="1" applyNumberFormat="1">
      <alignment horizontal="center" vertical="center"/>
    </xf>
    <xf borderId="24" fillId="3" fontId="3" numFmtId="0" xfId="0" applyAlignment="1" applyBorder="1" applyFont="1">
      <alignment horizontal="center" readingOrder="0" vertical="center"/>
    </xf>
    <xf borderId="25" fillId="3" fontId="3" numFmtId="0" xfId="0" applyAlignment="1" applyBorder="1" applyFont="1">
      <alignment horizontal="center" readingOrder="0" vertical="center"/>
    </xf>
    <xf borderId="2" fillId="3" fontId="3" numFmtId="1" xfId="0" applyAlignment="1" applyBorder="1" applyFont="1" applyNumberFormat="1">
      <alignment horizontal="center" vertical="bottom"/>
    </xf>
    <xf borderId="25" fillId="3" fontId="6" numFmtId="0" xfId="0" applyAlignment="1" applyBorder="1" applyFont="1">
      <alignment horizontal="center" readingOrder="0" vertical="center"/>
    </xf>
    <xf borderId="13" fillId="3" fontId="3" numFmtId="0" xfId="0" applyAlignment="1" applyBorder="1" applyFont="1">
      <alignment horizontal="center" readingOrder="0" vertical="center"/>
    </xf>
    <xf borderId="29" fillId="3" fontId="3" numFmtId="0" xfId="0" applyAlignment="1" applyBorder="1" applyFont="1">
      <alignment horizontal="center" readingOrder="0" vertical="center"/>
    </xf>
    <xf borderId="13" fillId="3" fontId="3" numFmtId="0" xfId="0" applyAlignment="1" applyBorder="1" applyFont="1">
      <alignment horizontal="center" readingOrder="0" shrinkToFit="0" vertical="center" wrapText="1"/>
    </xf>
    <xf borderId="31" fillId="3" fontId="3" numFmtId="0" xfId="0" applyAlignment="1" applyBorder="1" applyFont="1">
      <alignment horizontal="center" readingOrder="0" vertical="center"/>
    </xf>
    <xf borderId="32" fillId="3" fontId="3" numFmtId="1" xfId="0" applyAlignment="1" applyBorder="1" applyFont="1" applyNumberFormat="1">
      <alignment horizontal="center" vertical="bottom"/>
    </xf>
    <xf borderId="14" fillId="3" fontId="3" numFmtId="10" xfId="0" applyAlignment="1" applyBorder="1" applyFont="1" applyNumberFormat="1">
      <alignment horizontal="center" vertical="bottom"/>
    </xf>
    <xf borderId="20" fillId="0" fontId="3" numFmtId="164" xfId="0" applyAlignment="1" applyBorder="1" applyFont="1" applyNumberFormat="1">
      <alignment horizontal="center" vertical="bottom"/>
    </xf>
    <xf borderId="2" fillId="0" fontId="3" numFmtId="164" xfId="0" applyAlignment="1" applyBorder="1" applyFont="1" applyNumberFormat="1">
      <alignment horizontal="center" vertical="bottom"/>
    </xf>
    <xf borderId="32" fillId="0" fontId="3" numFmtId="164" xfId="0" applyAlignment="1" applyBorder="1" applyFont="1" applyNumberFormat="1">
      <alignment horizontal="center" vertical="bottom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34" fillId="0" fontId="7" numFmtId="0" xfId="0" applyAlignment="1" applyBorder="1" applyFont="1">
      <alignment horizontal="center" readingOrder="0" shrinkToFit="0" wrapText="0"/>
    </xf>
    <xf borderId="35" fillId="0" fontId="7" numFmtId="0" xfId="0" applyAlignment="1" applyBorder="1" applyFont="1">
      <alignment horizontal="center" readingOrder="0" shrinkToFit="0" wrapText="0"/>
    </xf>
    <xf borderId="9" fillId="0" fontId="7" numFmtId="0" xfId="0" applyAlignment="1" applyBorder="1" applyFont="1">
      <alignment horizontal="center" readingOrder="0" shrinkToFit="0" wrapText="0"/>
    </xf>
    <xf borderId="36" fillId="0" fontId="7" numFmtId="0" xfId="0" applyAlignment="1" applyBorder="1" applyFont="1">
      <alignment horizontal="center" readingOrder="0" shrinkToFit="0" wrapText="0"/>
    </xf>
    <xf borderId="10" fillId="0" fontId="7" numFmtId="0" xfId="0" applyAlignment="1" applyBorder="1" applyFont="1">
      <alignment horizontal="center" readingOrder="0" shrinkToFit="0" wrapText="0"/>
    </xf>
    <xf borderId="37" fillId="0" fontId="8" numFmtId="0" xfId="0" applyAlignment="1" applyBorder="1" applyFont="1">
      <alignment horizontal="center" readingOrder="0" shrinkToFit="0" wrapText="0"/>
    </xf>
    <xf borderId="2" fillId="0" fontId="8" numFmtId="0" xfId="0" applyAlignment="1" applyBorder="1" applyFont="1">
      <alignment horizontal="center" readingOrder="0" shrinkToFit="0" wrapText="0"/>
    </xf>
    <xf borderId="2" fillId="0" fontId="8" numFmtId="4" xfId="0" applyAlignment="1" applyBorder="1" applyFont="1" applyNumberFormat="1">
      <alignment horizontal="center" readingOrder="0" shrinkToFit="0" wrapText="0"/>
    </xf>
    <xf borderId="2" fillId="0" fontId="8" numFmtId="3" xfId="0" applyAlignment="1" applyBorder="1" applyFont="1" applyNumberFormat="1">
      <alignment horizontal="center" readingOrder="0" shrinkToFit="0" wrapText="0"/>
    </xf>
    <xf borderId="3" fillId="0" fontId="8" numFmtId="0" xfId="0" applyAlignment="1" applyBorder="1" applyFont="1">
      <alignment horizontal="center" readingOrder="0" shrinkToFit="0" wrapText="0"/>
    </xf>
    <xf borderId="38" fillId="0" fontId="8" numFmtId="0" xfId="0" applyAlignment="1" applyBorder="1" applyFont="1">
      <alignment horizontal="center" readingOrder="0" shrinkToFit="0" wrapText="0"/>
    </xf>
    <xf borderId="39" fillId="3" fontId="8" numFmtId="0" xfId="0" applyAlignment="1" applyBorder="1" applyFont="1">
      <alignment horizontal="center" readingOrder="0" shrinkToFit="0" wrapText="0"/>
    </xf>
    <xf borderId="20" fillId="3" fontId="8" numFmtId="0" xfId="0" applyAlignment="1" applyBorder="1" applyFont="1">
      <alignment horizontal="center" readingOrder="0" shrinkToFit="0" wrapText="0"/>
    </xf>
    <xf borderId="20" fillId="3" fontId="8" numFmtId="4" xfId="0" applyAlignment="1" applyBorder="1" applyFont="1" applyNumberFormat="1">
      <alignment horizontal="center" readingOrder="0" shrinkToFit="0" wrapText="0"/>
    </xf>
    <xf borderId="20" fillId="3" fontId="8" numFmtId="3" xfId="0" applyAlignment="1" applyBorder="1" applyFont="1" applyNumberFormat="1">
      <alignment horizontal="center" readingOrder="0" shrinkToFit="0" wrapText="0"/>
    </xf>
    <xf borderId="40" fillId="3" fontId="8" numFmtId="0" xfId="0" applyAlignment="1" applyBorder="1" applyFont="1">
      <alignment horizontal="center" readingOrder="0" shrinkToFit="0" wrapText="0"/>
    </xf>
    <xf borderId="41" fillId="3" fontId="8" numFmtId="0" xfId="0" applyAlignment="1" applyBorder="1" applyFont="1">
      <alignment horizontal="center" readingOrder="0" shrinkToFit="0" wrapText="0"/>
    </xf>
    <xf borderId="39" fillId="0" fontId="8" numFmtId="0" xfId="0" applyAlignment="1" applyBorder="1" applyFont="1">
      <alignment horizontal="center" readingOrder="0" shrinkToFit="0" wrapText="0"/>
    </xf>
    <xf borderId="20" fillId="0" fontId="8" numFmtId="0" xfId="0" applyAlignment="1" applyBorder="1" applyFont="1">
      <alignment horizontal="center" readingOrder="0" shrinkToFit="0" wrapText="0"/>
    </xf>
    <xf borderId="20" fillId="0" fontId="8" numFmtId="4" xfId="0" applyAlignment="1" applyBorder="1" applyFont="1" applyNumberFormat="1">
      <alignment horizontal="center" readingOrder="0" shrinkToFit="0" wrapText="0"/>
    </xf>
    <xf borderId="20" fillId="0" fontId="8" numFmtId="3" xfId="0" applyAlignment="1" applyBorder="1" applyFont="1" applyNumberFormat="1">
      <alignment horizontal="center" readingOrder="0" shrinkToFit="0" wrapText="0"/>
    </xf>
    <xf borderId="40" fillId="0" fontId="8" numFmtId="0" xfId="0" applyAlignment="1" applyBorder="1" applyFont="1">
      <alignment horizontal="center" readingOrder="0" shrinkToFit="0" wrapText="0"/>
    </xf>
    <xf borderId="41" fillId="0" fontId="8" numFmtId="0" xfId="0" applyAlignment="1" applyBorder="1" applyFont="1">
      <alignment horizontal="center" readingOrder="0" shrinkToFit="0" wrapText="0"/>
    </xf>
    <xf borderId="4" fillId="0" fontId="8" numFmtId="0" xfId="0" applyAlignment="1" applyBorder="1" applyFont="1">
      <alignment horizontal="center" readingOrder="0" shrinkToFit="0" wrapText="0"/>
    </xf>
    <xf borderId="4" fillId="0" fontId="8" numFmtId="4" xfId="0" applyAlignment="1" applyBorder="1" applyFont="1" applyNumberFormat="1">
      <alignment horizontal="center" readingOrder="0" shrinkToFit="0" wrapText="0"/>
    </xf>
    <xf borderId="42" fillId="2" fontId="8" numFmtId="0" xfId="0" applyAlignment="1" applyBorder="1" applyFont="1">
      <alignment horizontal="center" readingOrder="0" shrinkToFit="0" wrapText="0"/>
    </xf>
    <xf borderId="32" fillId="2" fontId="8" numFmtId="0" xfId="0" applyAlignment="1" applyBorder="1" applyFont="1">
      <alignment horizontal="center" readingOrder="0" shrinkToFit="0" wrapText="0"/>
    </xf>
    <xf borderId="14" fillId="2" fontId="8" numFmtId="0" xfId="0" applyAlignment="1" applyBorder="1" applyFont="1">
      <alignment horizontal="center" readingOrder="0" shrinkToFit="0" wrapText="0"/>
    </xf>
    <xf borderId="15" fillId="2" fontId="8" numFmtId="0" xfId="0" applyAlignment="1" applyBorder="1" applyFont="1">
      <alignment horizontal="center" readingOrder="0" shrinkToFit="0" wrapText="0"/>
    </xf>
    <xf borderId="43" fillId="2" fontId="8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5.0"/>
    <col customWidth="1" min="3" max="3" width="14.63"/>
    <col customWidth="1" min="4" max="4" width="16.63"/>
    <col customWidth="1" min="5" max="5" width="11.0"/>
    <col customWidth="1" min="6" max="6" width="7.75"/>
    <col customWidth="1" min="8" max="8" width="14.88"/>
    <col customWidth="1" min="10" max="10" width="18.0"/>
    <col customWidth="1" min="11" max="11" width="14.88"/>
    <col customWidth="1" min="12" max="12" width="15.88"/>
    <col customWidth="1" min="13" max="17" width="16.38"/>
    <col customWidth="1" min="18" max="25" width="15.88"/>
    <col customWidth="1" min="26" max="26" width="19.0"/>
    <col customWidth="1" min="29" max="29" width="15.13"/>
    <col hidden="1" min="34" max="34" width="12.63"/>
    <col customWidth="1" hidden="1" min="35" max="35" width="13.88"/>
    <col customWidth="1" min="36" max="36" width="14.38"/>
    <col customWidth="1" min="37" max="37" width="11.13"/>
    <col customWidth="1" min="38" max="39" width="17.63"/>
  </cols>
  <sheetData>
    <row r="1" ht="39.0" customHeight="1">
      <c r="B1" s="1" t="s">
        <v>0</v>
      </c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>
      <c r="A2" s="3"/>
      <c r="B2" s="4" t="s">
        <v>1</v>
      </c>
      <c r="C2" s="5"/>
      <c r="D2" s="4" t="s">
        <v>2</v>
      </c>
      <c r="E2" s="6"/>
      <c r="F2" s="5"/>
      <c r="G2" s="7" t="s">
        <v>3</v>
      </c>
      <c r="H2" s="7" t="s">
        <v>4</v>
      </c>
      <c r="I2" s="7" t="s">
        <v>5</v>
      </c>
      <c r="J2" s="7"/>
      <c r="K2" s="4"/>
      <c r="L2" s="6"/>
      <c r="M2" s="6"/>
      <c r="N2" s="6"/>
      <c r="O2" s="6"/>
      <c r="P2" s="6"/>
      <c r="Q2" s="6"/>
      <c r="R2" s="5"/>
      <c r="S2" s="8"/>
      <c r="T2" s="8"/>
      <c r="U2" s="8"/>
      <c r="V2" s="8"/>
      <c r="W2" s="8"/>
      <c r="X2" s="8"/>
      <c r="Y2" s="8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52.5" customHeight="1">
      <c r="A3" s="3"/>
      <c r="B3" s="4" t="s">
        <v>6</v>
      </c>
      <c r="C3" s="5"/>
      <c r="D3" s="4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5"/>
      <c r="S3" s="8"/>
      <c r="T3" s="8"/>
      <c r="U3" s="8"/>
      <c r="V3" s="8"/>
      <c r="W3" s="8"/>
      <c r="X3" s="8"/>
      <c r="Y3" s="8"/>
      <c r="Z3" s="3"/>
      <c r="AA3" s="8"/>
      <c r="AC3" s="8"/>
      <c r="AP3" s="8"/>
      <c r="AQ3" s="8"/>
      <c r="AR3" s="8"/>
      <c r="AS3" s="8"/>
      <c r="AT3" s="8"/>
    </row>
    <row r="4">
      <c r="A4" s="3"/>
      <c r="B4" s="8"/>
      <c r="C4" s="8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>
      <c r="A5" s="9"/>
      <c r="B5" s="10" t="s">
        <v>7</v>
      </c>
      <c r="C5" s="11" t="s">
        <v>8</v>
      </c>
      <c r="D5" s="12" t="s">
        <v>9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4"/>
      <c r="S5" s="15"/>
      <c r="T5" s="16" t="s">
        <v>10</v>
      </c>
      <c r="U5" s="11" t="s">
        <v>11</v>
      </c>
      <c r="V5" s="16" t="s">
        <v>12</v>
      </c>
      <c r="W5" s="11" t="s">
        <v>13</v>
      </c>
      <c r="X5" s="11" t="s">
        <v>14</v>
      </c>
      <c r="Y5" s="15"/>
      <c r="Z5" s="17"/>
      <c r="AA5" s="18"/>
      <c r="AB5" s="15"/>
      <c r="AC5" s="18"/>
    </row>
    <row r="6">
      <c r="A6" s="9"/>
      <c r="B6" s="19"/>
      <c r="C6" s="20"/>
      <c r="D6" s="21" t="s">
        <v>15</v>
      </c>
      <c r="E6" s="22" t="s">
        <v>16</v>
      </c>
      <c r="F6" s="22" t="s">
        <v>17</v>
      </c>
      <c r="G6" s="22" t="s">
        <v>18</v>
      </c>
      <c r="H6" s="22" t="s">
        <v>19</v>
      </c>
      <c r="I6" s="22" t="s">
        <v>20</v>
      </c>
      <c r="J6" s="21" t="s">
        <v>21</v>
      </c>
      <c r="K6" s="21" t="s">
        <v>22</v>
      </c>
      <c r="L6" s="23" t="s">
        <v>23</v>
      </c>
      <c r="M6" s="23" t="s">
        <v>24</v>
      </c>
      <c r="N6" s="23" t="s">
        <v>25</v>
      </c>
      <c r="O6" s="23" t="s">
        <v>26</v>
      </c>
      <c r="P6" s="24" t="s">
        <v>27</v>
      </c>
      <c r="Q6" s="25" t="s">
        <v>28</v>
      </c>
      <c r="R6" s="26" t="s">
        <v>29</v>
      </c>
      <c r="S6" s="27"/>
      <c r="T6" s="19"/>
      <c r="U6" s="20"/>
      <c r="V6" s="19"/>
      <c r="W6" s="20"/>
      <c r="X6" s="20"/>
      <c r="Y6" s="15"/>
      <c r="Z6" s="28"/>
      <c r="AC6" s="29"/>
      <c r="AD6" s="30"/>
      <c r="AE6" s="30"/>
      <c r="AF6" s="30"/>
      <c r="AG6" s="30"/>
      <c r="AH6" s="30"/>
      <c r="AI6" s="30"/>
      <c r="AJ6" s="30"/>
      <c r="AK6" s="29"/>
      <c r="AL6" s="29"/>
      <c r="AM6" s="29"/>
      <c r="AN6" s="30"/>
      <c r="AO6" s="29"/>
      <c r="AP6" s="29"/>
      <c r="AQ6" s="29"/>
      <c r="AR6" s="29"/>
      <c r="AS6" s="27"/>
    </row>
    <row r="7">
      <c r="A7" s="3"/>
      <c r="B7" s="31" t="s">
        <v>30</v>
      </c>
      <c r="C7" s="32">
        <v>665.0</v>
      </c>
      <c r="D7" s="33" t="s">
        <v>31</v>
      </c>
      <c r="E7" s="34"/>
      <c r="F7" s="33">
        <v>1.0</v>
      </c>
      <c r="G7" s="35" t="s">
        <v>32</v>
      </c>
      <c r="H7" s="35" t="s">
        <v>33</v>
      </c>
      <c r="I7" s="33">
        <v>32.0</v>
      </c>
      <c r="J7" s="33">
        <v>45.0</v>
      </c>
      <c r="K7" s="33">
        <v>6.0</v>
      </c>
      <c r="L7" s="36">
        <f t="shared" ref="L7:L9" si="1">J7-K7</f>
        <v>39</v>
      </c>
      <c r="M7" s="37">
        <f t="shared" ref="M7:M9" si="2">K7/J7</f>
        <v>0.1333333333</v>
      </c>
      <c r="N7" s="38">
        <f>(MAX($M$7:$M$9))</f>
        <v>0.4</v>
      </c>
      <c r="O7" s="38">
        <f>AVERAGE(M7:M9)</f>
        <v>0.2074074074</v>
      </c>
      <c r="P7" s="39">
        <f>IF(M9&gt;0.35, J7*M9/0.35, "No llego al 35%")</f>
        <v>51.42857143</v>
      </c>
      <c r="Q7" s="40">
        <f>_xlfn.PERCENTILE.INC(K7:K9,0.95)</f>
        <v>16.8</v>
      </c>
      <c r="R7" s="41">
        <f>AVERAGE(I7:I9)</f>
        <v>32.5</v>
      </c>
      <c r="S7" s="42"/>
      <c r="T7" s="43">
        <f> - $R$55 + R7</f>
        <v>-4</v>
      </c>
      <c r="U7" s="32">
        <f> - $C$55 + C7</f>
        <v>-295</v>
      </c>
      <c r="V7" s="44">
        <f>(T7)/$R$55</f>
        <v>-0.1095890411</v>
      </c>
      <c r="W7" s="45">
        <f>U7/$C$55</f>
        <v>-0.3072916667</v>
      </c>
      <c r="X7" s="46">
        <v>8.64</v>
      </c>
      <c r="Y7" s="47"/>
      <c r="Z7" s="3"/>
      <c r="AA7" s="48"/>
      <c r="AB7" s="48"/>
      <c r="AC7" s="49"/>
      <c r="AD7" s="50"/>
      <c r="AE7" s="50"/>
      <c r="AF7" s="49"/>
      <c r="AG7" s="49"/>
      <c r="AH7" s="50"/>
      <c r="AI7" s="3"/>
      <c r="AJ7" s="8"/>
      <c r="AK7" s="8"/>
      <c r="AL7" s="8"/>
      <c r="AM7" s="8"/>
      <c r="AN7" s="51"/>
      <c r="AO7" s="52"/>
      <c r="AP7" s="49"/>
      <c r="AQ7" s="49"/>
      <c r="AR7" s="49"/>
      <c r="AS7" s="53"/>
    </row>
    <row r="8">
      <c r="A8" s="3"/>
      <c r="B8" s="54"/>
      <c r="C8" s="55"/>
      <c r="D8" s="56" t="s">
        <v>34</v>
      </c>
      <c r="E8" s="57"/>
      <c r="F8" s="57">
        <v>2.0</v>
      </c>
      <c r="G8" s="35" t="s">
        <v>32</v>
      </c>
      <c r="H8" s="35" t="s">
        <v>33</v>
      </c>
      <c r="I8" s="56">
        <v>31.5</v>
      </c>
      <c r="J8" s="33">
        <v>45.0</v>
      </c>
      <c r="K8" s="57">
        <v>4.0</v>
      </c>
      <c r="L8" s="36">
        <f t="shared" si="1"/>
        <v>41</v>
      </c>
      <c r="M8" s="37">
        <f t="shared" si="2"/>
        <v>0.08888888889</v>
      </c>
      <c r="N8" s="58"/>
      <c r="O8" s="58"/>
      <c r="Q8" s="59"/>
      <c r="R8" s="55"/>
      <c r="S8" s="42"/>
      <c r="T8" s="60"/>
      <c r="U8" s="55"/>
      <c r="V8" s="60"/>
      <c r="W8" s="55"/>
      <c r="X8" s="55"/>
      <c r="Y8" s="47"/>
      <c r="Z8" s="3"/>
      <c r="AD8" s="50"/>
      <c r="AE8" s="50"/>
      <c r="AF8" s="49"/>
      <c r="AG8" s="49"/>
      <c r="AH8" s="50"/>
      <c r="AI8" s="3"/>
      <c r="AJ8" s="8"/>
      <c r="AK8" s="8"/>
      <c r="AL8" s="8"/>
      <c r="AM8" s="8"/>
      <c r="AN8" s="51"/>
    </row>
    <row r="9">
      <c r="A9" s="3"/>
      <c r="B9" s="54"/>
      <c r="C9" s="55"/>
      <c r="D9" s="56" t="s">
        <v>35</v>
      </c>
      <c r="E9" s="57"/>
      <c r="F9" s="57">
        <v>3.0</v>
      </c>
      <c r="G9" s="35" t="s">
        <v>32</v>
      </c>
      <c r="H9" s="35" t="s">
        <v>33</v>
      </c>
      <c r="I9" s="56">
        <v>34.0</v>
      </c>
      <c r="J9" s="33">
        <v>45.0</v>
      </c>
      <c r="K9" s="61">
        <v>18.0</v>
      </c>
      <c r="L9" s="36">
        <f t="shared" si="1"/>
        <v>27</v>
      </c>
      <c r="M9" s="37">
        <f t="shared" si="2"/>
        <v>0.4</v>
      </c>
      <c r="N9" s="58"/>
      <c r="O9" s="58"/>
      <c r="Q9" s="59"/>
      <c r="R9" s="55"/>
      <c r="S9" s="42"/>
      <c r="T9" s="60"/>
      <c r="U9" s="55"/>
      <c r="V9" s="60"/>
      <c r="W9" s="55"/>
      <c r="X9" s="55"/>
      <c r="Y9" s="47"/>
      <c r="Z9" s="3"/>
      <c r="AD9" s="50"/>
      <c r="AE9" s="50"/>
      <c r="AF9" s="49"/>
      <c r="AG9" s="49"/>
      <c r="AH9" s="50"/>
      <c r="AI9" s="3"/>
      <c r="AJ9" s="8"/>
      <c r="AK9" s="8"/>
      <c r="AL9" s="8"/>
      <c r="AM9" s="8"/>
      <c r="AN9" s="51"/>
    </row>
    <row r="10">
      <c r="A10" s="3"/>
      <c r="B10" s="54"/>
      <c r="C10" s="55"/>
      <c r="D10" s="56"/>
      <c r="E10" s="57"/>
      <c r="F10" s="57"/>
      <c r="G10" s="62"/>
      <c r="H10" s="62"/>
      <c r="I10" s="56"/>
      <c r="J10" s="57"/>
      <c r="K10" s="57"/>
      <c r="L10" s="36"/>
      <c r="M10" s="37"/>
      <c r="N10" s="58"/>
      <c r="O10" s="58"/>
      <c r="Q10" s="59"/>
      <c r="R10" s="55"/>
      <c r="S10" s="42"/>
      <c r="T10" s="60"/>
      <c r="U10" s="55"/>
      <c r="V10" s="60"/>
      <c r="W10" s="55"/>
      <c r="X10" s="55"/>
      <c r="Y10" s="47"/>
      <c r="Z10" s="3"/>
      <c r="AD10" s="50"/>
      <c r="AE10" s="50"/>
      <c r="AF10" s="49"/>
      <c r="AG10" s="49"/>
      <c r="AH10" s="50"/>
      <c r="AI10" s="3"/>
      <c r="AJ10" s="8"/>
      <c r="AK10" s="8"/>
      <c r="AL10" s="8"/>
      <c r="AM10" s="8"/>
      <c r="AN10" s="51"/>
      <c r="AO10" s="52"/>
      <c r="AP10" s="49"/>
      <c r="AQ10" s="49"/>
      <c r="AS10" s="53"/>
    </row>
    <row r="11">
      <c r="A11" s="3"/>
      <c r="B11" s="54"/>
      <c r="C11" s="55"/>
      <c r="D11" s="56"/>
      <c r="E11" s="57"/>
      <c r="F11" s="57"/>
      <c r="G11" s="62"/>
      <c r="H11" s="62"/>
      <c r="I11" s="56"/>
      <c r="J11" s="57"/>
      <c r="K11" s="57"/>
      <c r="L11" s="36"/>
      <c r="M11" s="37"/>
      <c r="N11" s="58"/>
      <c r="O11" s="58"/>
      <c r="Q11" s="59"/>
      <c r="R11" s="55"/>
      <c r="S11" s="42"/>
      <c r="T11" s="60"/>
      <c r="U11" s="55"/>
      <c r="V11" s="60"/>
      <c r="W11" s="55"/>
      <c r="X11" s="55"/>
      <c r="Y11" s="47"/>
      <c r="Z11" s="3"/>
      <c r="AD11" s="50"/>
      <c r="AE11" s="50"/>
      <c r="AF11" s="49"/>
      <c r="AG11" s="49"/>
      <c r="AH11" s="50"/>
      <c r="AI11" s="3"/>
      <c r="AJ11" s="8"/>
      <c r="AK11" s="8"/>
      <c r="AL11" s="8"/>
      <c r="AM11" s="8"/>
      <c r="AN11" s="51"/>
    </row>
    <row r="12">
      <c r="A12" s="3"/>
      <c r="B12" s="63"/>
      <c r="C12" s="64"/>
      <c r="D12" s="65"/>
      <c r="E12" s="65"/>
      <c r="F12" s="65"/>
      <c r="G12" s="66"/>
      <c r="H12" s="66"/>
      <c r="I12" s="65"/>
      <c r="J12" s="65"/>
      <c r="K12" s="65"/>
      <c r="L12" s="67"/>
      <c r="M12" s="68"/>
      <c r="N12" s="69"/>
      <c r="O12" s="69"/>
      <c r="P12" s="70"/>
      <c r="Q12" s="71"/>
      <c r="R12" s="64"/>
      <c r="S12" s="42"/>
      <c r="T12" s="20"/>
      <c r="U12" s="64"/>
      <c r="V12" s="20"/>
      <c r="W12" s="64"/>
      <c r="X12" s="64"/>
      <c r="Y12" s="47"/>
      <c r="Z12" s="3"/>
      <c r="AD12" s="50"/>
      <c r="AE12" s="50"/>
      <c r="AF12" s="49"/>
      <c r="AG12" s="49"/>
      <c r="AH12" s="50"/>
      <c r="AI12" s="3"/>
      <c r="AJ12" s="8"/>
      <c r="AK12" s="8"/>
      <c r="AL12" s="8"/>
      <c r="AM12" s="8"/>
      <c r="AN12" s="51"/>
    </row>
    <row r="13">
      <c r="A13" s="3"/>
      <c r="B13" s="31" t="s">
        <v>36</v>
      </c>
      <c r="C13" s="72">
        <v>660.0</v>
      </c>
      <c r="D13" s="33" t="s">
        <v>31</v>
      </c>
      <c r="E13" s="33"/>
      <c r="F13" s="33">
        <v>1.0</v>
      </c>
      <c r="G13" s="35" t="s">
        <v>32</v>
      </c>
      <c r="H13" s="35" t="s">
        <v>33</v>
      </c>
      <c r="I13" s="33">
        <v>35.0</v>
      </c>
      <c r="J13" s="33">
        <v>45.0</v>
      </c>
      <c r="K13" s="73">
        <v>10.0</v>
      </c>
      <c r="L13" s="36">
        <f t="shared" ref="L13:L15" si="3">J13-K13</f>
        <v>35</v>
      </c>
      <c r="M13" s="37">
        <f t="shared" ref="M13:M15" si="4">K13/J13</f>
        <v>0.2222222222</v>
      </c>
      <c r="N13" s="38">
        <f>(MAX($M$13:$M$18))</f>
        <v>0.2222222222</v>
      </c>
      <c r="O13" s="38">
        <f>AVERAGE(M13:M15)</f>
        <v>0.1407407407</v>
      </c>
      <c r="P13" s="74" t="str">
        <f>IF(M13&gt;0.35, J13*M13/0.35, "No llego al 35%")</f>
        <v>No llego al 35%</v>
      </c>
      <c r="Q13" s="40">
        <f>_xlfn.PERCENTILE.INC(K13:K18,0.95)</f>
        <v>9.5</v>
      </c>
      <c r="R13" s="75">
        <f>AVERAGE(I13:I15)</f>
        <v>33.16666667</v>
      </c>
      <c r="S13" s="76"/>
      <c r="T13" s="43">
        <f> - $R$55 + R13</f>
        <v>-3.333333333</v>
      </c>
      <c r="U13" s="32">
        <f> - $C$55 + C13</f>
        <v>-300</v>
      </c>
      <c r="V13" s="44">
        <f>(T13)/$R$55</f>
        <v>-0.09132420091</v>
      </c>
      <c r="W13" s="45">
        <f>U13/$C$55</f>
        <v>-0.3125</v>
      </c>
      <c r="X13" s="46">
        <v>8.71</v>
      </c>
      <c r="Y13" s="47"/>
      <c r="Z13" s="3"/>
      <c r="AA13" s="48"/>
      <c r="AB13" s="48"/>
      <c r="AC13" s="49"/>
      <c r="AD13" s="50"/>
      <c r="AE13" s="50"/>
      <c r="AF13" s="49"/>
      <c r="AG13" s="49"/>
      <c r="AH13" s="77"/>
      <c r="AI13" s="3"/>
      <c r="AJ13" s="8"/>
      <c r="AK13" s="8"/>
      <c r="AL13" s="8"/>
      <c r="AM13" s="8"/>
      <c r="AN13" s="51"/>
      <c r="AO13" s="52"/>
      <c r="AP13" s="49"/>
      <c r="AQ13" s="49"/>
      <c r="AR13" s="49"/>
      <c r="AS13" s="78"/>
    </row>
    <row r="14">
      <c r="A14" s="3"/>
      <c r="B14" s="54"/>
      <c r="C14" s="55"/>
      <c r="D14" s="56" t="s">
        <v>37</v>
      </c>
      <c r="E14" s="57"/>
      <c r="F14" s="57">
        <v>2.0</v>
      </c>
      <c r="G14" s="35" t="s">
        <v>32</v>
      </c>
      <c r="H14" s="35" t="s">
        <v>33</v>
      </c>
      <c r="I14" s="56">
        <v>32.0</v>
      </c>
      <c r="J14" s="57">
        <v>45.0</v>
      </c>
      <c r="K14" s="61">
        <v>5.0</v>
      </c>
      <c r="L14" s="36">
        <f t="shared" si="3"/>
        <v>40</v>
      </c>
      <c r="M14" s="37">
        <f t="shared" si="4"/>
        <v>0.1111111111</v>
      </c>
      <c r="N14" s="58"/>
      <c r="O14" s="58"/>
      <c r="Q14" s="59"/>
      <c r="R14" s="55"/>
      <c r="S14" s="76"/>
      <c r="T14" s="60"/>
      <c r="U14" s="55"/>
      <c r="V14" s="60"/>
      <c r="W14" s="55"/>
      <c r="X14" s="55"/>
      <c r="Y14" s="47"/>
      <c r="Z14" s="8" t="s">
        <v>38</v>
      </c>
      <c r="AD14" s="50"/>
      <c r="AE14" s="50"/>
      <c r="AF14" s="49"/>
      <c r="AG14" s="49"/>
      <c r="AH14" s="77"/>
      <c r="AI14" s="3"/>
      <c r="AJ14" s="8"/>
      <c r="AK14" s="8"/>
      <c r="AL14" s="8"/>
      <c r="AM14" s="8"/>
      <c r="AN14" s="51"/>
    </row>
    <row r="15">
      <c r="A15" s="3"/>
      <c r="B15" s="54"/>
      <c r="C15" s="55"/>
      <c r="D15" s="56" t="s">
        <v>35</v>
      </c>
      <c r="E15" s="57"/>
      <c r="F15" s="57">
        <v>3.0</v>
      </c>
      <c r="G15" s="35" t="s">
        <v>32</v>
      </c>
      <c r="H15" s="35" t="s">
        <v>33</v>
      </c>
      <c r="I15" s="56">
        <v>32.5</v>
      </c>
      <c r="J15" s="57">
        <v>45.0</v>
      </c>
      <c r="K15" s="57">
        <v>4.0</v>
      </c>
      <c r="L15" s="36">
        <f t="shared" si="3"/>
        <v>41</v>
      </c>
      <c r="M15" s="37">
        <f t="shared" si="4"/>
        <v>0.08888888889</v>
      </c>
      <c r="N15" s="58"/>
      <c r="O15" s="58"/>
      <c r="Q15" s="59"/>
      <c r="R15" s="55"/>
      <c r="S15" s="76"/>
      <c r="T15" s="60"/>
      <c r="U15" s="55"/>
      <c r="V15" s="60"/>
      <c r="W15" s="55"/>
      <c r="X15" s="55"/>
      <c r="Y15" s="47"/>
      <c r="Z15" s="8" t="s">
        <v>39</v>
      </c>
      <c r="AD15" s="50"/>
      <c r="AE15" s="50"/>
      <c r="AF15" s="49"/>
      <c r="AG15" s="49"/>
      <c r="AH15" s="77"/>
      <c r="AI15" s="3"/>
      <c r="AJ15" s="8"/>
      <c r="AK15" s="8"/>
      <c r="AL15" s="8"/>
      <c r="AM15" s="8"/>
      <c r="AN15" s="51"/>
    </row>
    <row r="16">
      <c r="A16" s="3"/>
      <c r="B16" s="54"/>
      <c r="C16" s="55"/>
      <c r="D16" s="56"/>
      <c r="E16" s="57"/>
      <c r="F16" s="57"/>
      <c r="G16" s="62"/>
      <c r="H16" s="62"/>
      <c r="I16" s="56"/>
      <c r="J16" s="57"/>
      <c r="K16" s="57"/>
      <c r="L16" s="36"/>
      <c r="M16" s="37"/>
      <c r="N16" s="58"/>
      <c r="O16" s="58"/>
      <c r="Q16" s="59"/>
      <c r="R16" s="55"/>
      <c r="S16" s="76"/>
      <c r="T16" s="60"/>
      <c r="U16" s="55"/>
      <c r="V16" s="60"/>
      <c r="W16" s="55"/>
      <c r="X16" s="55"/>
      <c r="Y16" s="47"/>
      <c r="Z16" s="3"/>
      <c r="AD16" s="50"/>
      <c r="AE16" s="50"/>
      <c r="AF16" s="49"/>
      <c r="AG16" s="49"/>
      <c r="AH16" s="77"/>
      <c r="AI16" s="3"/>
      <c r="AJ16" s="8"/>
      <c r="AK16" s="8"/>
      <c r="AL16" s="8"/>
      <c r="AM16" s="8"/>
      <c r="AN16" s="51"/>
      <c r="AO16" s="52"/>
      <c r="AP16" s="49"/>
      <c r="AQ16" s="49"/>
      <c r="AS16" s="78"/>
    </row>
    <row r="17">
      <c r="A17" s="3"/>
      <c r="B17" s="54"/>
      <c r="C17" s="55"/>
      <c r="D17" s="56"/>
      <c r="E17" s="57"/>
      <c r="F17" s="57"/>
      <c r="G17" s="62"/>
      <c r="H17" s="62"/>
      <c r="I17" s="56"/>
      <c r="J17" s="57"/>
      <c r="K17" s="57"/>
      <c r="L17" s="36"/>
      <c r="M17" s="37"/>
      <c r="N17" s="58"/>
      <c r="O17" s="58"/>
      <c r="Q17" s="59"/>
      <c r="R17" s="55"/>
      <c r="S17" s="76"/>
      <c r="T17" s="60"/>
      <c r="U17" s="55"/>
      <c r="V17" s="60"/>
      <c r="W17" s="55"/>
      <c r="X17" s="55"/>
      <c r="Y17" s="47"/>
      <c r="Z17" s="3"/>
      <c r="AD17" s="50"/>
      <c r="AE17" s="50"/>
      <c r="AF17" s="49"/>
      <c r="AG17" s="49"/>
      <c r="AH17" s="77"/>
      <c r="AI17" s="3"/>
      <c r="AJ17" s="8"/>
      <c r="AK17" s="8"/>
      <c r="AL17" s="8"/>
      <c r="AM17" s="8"/>
      <c r="AN17" s="51"/>
    </row>
    <row r="18">
      <c r="A18" s="3"/>
      <c r="B18" s="63"/>
      <c r="C18" s="64"/>
      <c r="D18" s="65"/>
      <c r="E18" s="65"/>
      <c r="F18" s="65"/>
      <c r="G18" s="66"/>
      <c r="H18" s="66"/>
      <c r="I18" s="65"/>
      <c r="J18" s="65"/>
      <c r="K18" s="65"/>
      <c r="L18" s="67"/>
      <c r="M18" s="68"/>
      <c r="N18" s="69"/>
      <c r="O18" s="69"/>
      <c r="P18" s="70"/>
      <c r="Q18" s="71"/>
      <c r="R18" s="64"/>
      <c r="S18" s="76"/>
      <c r="T18" s="20"/>
      <c r="U18" s="64"/>
      <c r="V18" s="20"/>
      <c r="W18" s="64"/>
      <c r="X18" s="64"/>
      <c r="Y18" s="47"/>
      <c r="Z18" s="3"/>
      <c r="AD18" s="50"/>
      <c r="AE18" s="50"/>
      <c r="AF18" s="49"/>
      <c r="AG18" s="49"/>
      <c r="AH18" s="77"/>
      <c r="AI18" s="3"/>
      <c r="AJ18" s="8"/>
      <c r="AK18" s="8"/>
      <c r="AL18" s="8"/>
      <c r="AM18" s="8"/>
      <c r="AN18" s="51"/>
    </row>
    <row r="19">
      <c r="A19" s="3"/>
      <c r="B19" s="79" t="s">
        <v>40</v>
      </c>
      <c r="C19" s="80">
        <v>660.0</v>
      </c>
      <c r="D19" s="81" t="s">
        <v>31</v>
      </c>
      <c r="E19" s="82"/>
      <c r="F19" s="82">
        <v>1.0</v>
      </c>
      <c r="G19" s="83" t="s">
        <v>32</v>
      </c>
      <c r="H19" s="83" t="s">
        <v>33</v>
      </c>
      <c r="I19" s="81">
        <v>30.0</v>
      </c>
      <c r="J19" s="82">
        <v>45.0</v>
      </c>
      <c r="K19" s="82">
        <v>6.0</v>
      </c>
      <c r="L19" s="84">
        <f t="shared" ref="L19:L21" si="5">J19-K19</f>
        <v>39</v>
      </c>
      <c r="M19" s="85">
        <f t="shared" ref="M19:M21" si="6">K19/J19</f>
        <v>0.1333333333</v>
      </c>
      <c r="N19" s="86">
        <f>(MAX($M$19:$M$24))</f>
        <v>0.1333333333</v>
      </c>
      <c r="O19" s="86">
        <f>AVERAGE(M19:M21)</f>
        <v>0.1111111111</v>
      </c>
      <c r="P19" s="87" t="str">
        <f>IF(M19&gt;0.35, J19*M19/0.35, "No llego al 35%")</f>
        <v>No llego al 35%</v>
      </c>
      <c r="Q19" s="88">
        <f>_xlfn.PERCENTILE.INC(K19:K24,0.95)</f>
        <v>5.9</v>
      </c>
      <c r="R19" s="89">
        <f>AVERAGE(I19:I21)</f>
        <v>29.66666667</v>
      </c>
      <c r="S19" s="76"/>
      <c r="T19" s="43">
        <f> - $R$55 + R19</f>
        <v>-6.833333333</v>
      </c>
      <c r="U19" s="32">
        <f> - $C$55 + C19</f>
        <v>-300</v>
      </c>
      <c r="V19" s="44">
        <f>(T19)/$R$55</f>
        <v>-0.1872146119</v>
      </c>
      <c r="W19" s="45">
        <f>U19/$C$55</f>
        <v>-0.3125</v>
      </c>
      <c r="X19" s="46">
        <v>7.15</v>
      </c>
      <c r="Y19" s="47"/>
      <c r="Z19" s="3"/>
      <c r="AA19" s="48"/>
      <c r="AB19" s="48"/>
      <c r="AC19" s="49"/>
      <c r="AD19" s="50"/>
      <c r="AE19" s="50"/>
      <c r="AF19" s="49"/>
      <c r="AG19" s="49"/>
      <c r="AH19" s="77"/>
      <c r="AI19" s="3"/>
      <c r="AJ19" s="8"/>
      <c r="AK19" s="8"/>
      <c r="AL19" s="8"/>
      <c r="AM19" s="8"/>
      <c r="AN19" s="51"/>
      <c r="AO19" s="52"/>
      <c r="AP19" s="49"/>
      <c r="AQ19" s="90"/>
      <c r="AR19" s="49"/>
      <c r="AS19" s="53"/>
    </row>
    <row r="20">
      <c r="A20" s="3"/>
      <c r="B20" s="54"/>
      <c r="C20" s="55"/>
      <c r="D20" s="91" t="s">
        <v>41</v>
      </c>
      <c r="E20" s="92"/>
      <c r="F20" s="92">
        <v>2.0</v>
      </c>
      <c r="G20" s="93" t="s">
        <v>32</v>
      </c>
      <c r="H20" s="93" t="s">
        <v>33</v>
      </c>
      <c r="I20" s="91">
        <v>28.0</v>
      </c>
      <c r="J20" s="92">
        <v>45.0</v>
      </c>
      <c r="K20" s="92">
        <v>5.0</v>
      </c>
      <c r="L20" s="94">
        <f t="shared" si="5"/>
        <v>40</v>
      </c>
      <c r="M20" s="85">
        <f t="shared" si="6"/>
        <v>0.1111111111</v>
      </c>
      <c r="N20" s="58"/>
      <c r="O20" s="58"/>
      <c r="Q20" s="59"/>
      <c r="R20" s="55"/>
      <c r="S20" s="76"/>
      <c r="T20" s="60"/>
      <c r="U20" s="55"/>
      <c r="V20" s="60"/>
      <c r="W20" s="55"/>
      <c r="X20" s="55"/>
      <c r="Y20" s="47"/>
      <c r="Z20" s="3"/>
      <c r="AD20" s="50"/>
      <c r="AE20" s="50"/>
      <c r="AF20" s="49"/>
      <c r="AG20" s="49"/>
      <c r="AH20" s="77"/>
      <c r="AI20" s="3"/>
      <c r="AJ20" s="8"/>
      <c r="AK20" s="8"/>
      <c r="AL20" s="8"/>
      <c r="AM20" s="8"/>
      <c r="AN20" s="51"/>
    </row>
    <row r="21">
      <c r="A21" s="3"/>
      <c r="B21" s="54"/>
      <c r="C21" s="55"/>
      <c r="D21" s="91" t="s">
        <v>35</v>
      </c>
      <c r="E21" s="92"/>
      <c r="F21" s="92">
        <v>3.0</v>
      </c>
      <c r="G21" s="93" t="s">
        <v>32</v>
      </c>
      <c r="H21" s="93" t="s">
        <v>33</v>
      </c>
      <c r="I21" s="91">
        <v>31.0</v>
      </c>
      <c r="J21" s="92">
        <v>45.0</v>
      </c>
      <c r="K21" s="92">
        <v>4.0</v>
      </c>
      <c r="L21" s="94">
        <f t="shared" si="5"/>
        <v>41</v>
      </c>
      <c r="M21" s="85">
        <f t="shared" si="6"/>
        <v>0.08888888889</v>
      </c>
      <c r="N21" s="58"/>
      <c r="O21" s="58"/>
      <c r="Q21" s="59"/>
      <c r="R21" s="55"/>
      <c r="S21" s="76"/>
      <c r="T21" s="60"/>
      <c r="U21" s="55"/>
      <c r="V21" s="60"/>
      <c r="W21" s="55"/>
      <c r="X21" s="55"/>
      <c r="Y21" s="47"/>
      <c r="Z21" s="3"/>
      <c r="AD21" s="50"/>
      <c r="AE21" s="50"/>
      <c r="AF21" s="49"/>
      <c r="AG21" s="49"/>
      <c r="AH21" s="77"/>
      <c r="AI21" s="3"/>
      <c r="AJ21" s="8"/>
      <c r="AK21" s="8"/>
      <c r="AL21" s="8"/>
      <c r="AM21" s="8"/>
      <c r="AN21" s="51"/>
    </row>
    <row r="22">
      <c r="A22" s="3"/>
      <c r="B22" s="54"/>
      <c r="C22" s="55"/>
      <c r="D22" s="91"/>
      <c r="E22" s="92"/>
      <c r="F22" s="92"/>
      <c r="G22" s="93"/>
      <c r="H22" s="93"/>
      <c r="I22" s="91"/>
      <c r="J22" s="92"/>
      <c r="K22" s="92"/>
      <c r="L22" s="94"/>
      <c r="M22" s="85"/>
      <c r="N22" s="58"/>
      <c r="O22" s="58"/>
      <c r="Q22" s="59"/>
      <c r="R22" s="55"/>
      <c r="S22" s="76"/>
      <c r="T22" s="60"/>
      <c r="U22" s="55"/>
      <c r="V22" s="60"/>
      <c r="W22" s="55"/>
      <c r="X22" s="55"/>
      <c r="Y22" s="47"/>
      <c r="Z22" s="3"/>
      <c r="AD22" s="50"/>
      <c r="AE22" s="50"/>
      <c r="AF22" s="49"/>
      <c r="AG22" s="49"/>
      <c r="AH22" s="77"/>
      <c r="AI22" s="3"/>
      <c r="AJ22" s="50"/>
      <c r="AK22" s="8"/>
      <c r="AL22" s="8"/>
      <c r="AM22" s="8"/>
      <c r="AN22" s="51"/>
    </row>
    <row r="23">
      <c r="A23" s="3"/>
      <c r="B23" s="54"/>
      <c r="C23" s="55"/>
      <c r="D23" s="91"/>
      <c r="E23" s="92"/>
      <c r="F23" s="92"/>
      <c r="G23" s="93"/>
      <c r="H23" s="93"/>
      <c r="I23" s="91"/>
      <c r="J23" s="92"/>
      <c r="K23" s="95"/>
      <c r="L23" s="94"/>
      <c r="M23" s="85"/>
      <c r="N23" s="58"/>
      <c r="O23" s="58"/>
      <c r="Q23" s="59"/>
      <c r="R23" s="55"/>
      <c r="S23" s="76"/>
      <c r="T23" s="60"/>
      <c r="U23" s="55"/>
      <c r="V23" s="60"/>
      <c r="W23" s="55"/>
      <c r="X23" s="55"/>
      <c r="Y23" s="47"/>
      <c r="Z23" s="3"/>
      <c r="AD23" s="50"/>
      <c r="AE23" s="50"/>
      <c r="AF23" s="49"/>
      <c r="AG23" s="49"/>
      <c r="AH23" s="77"/>
      <c r="AI23" s="3"/>
      <c r="AJ23" s="50"/>
      <c r="AK23" s="8"/>
      <c r="AL23" s="8"/>
      <c r="AM23" s="8"/>
      <c r="AN23" s="51"/>
    </row>
    <row r="24">
      <c r="A24" s="3"/>
      <c r="B24" s="63"/>
      <c r="C24" s="64"/>
      <c r="D24" s="96"/>
      <c r="E24" s="97"/>
      <c r="F24" s="97"/>
      <c r="G24" s="98"/>
      <c r="H24" s="98"/>
      <c r="I24" s="99"/>
      <c r="J24" s="97"/>
      <c r="K24" s="97"/>
      <c r="L24" s="100"/>
      <c r="M24" s="101"/>
      <c r="N24" s="69"/>
      <c r="O24" s="69"/>
      <c r="P24" s="70"/>
      <c r="Q24" s="71"/>
      <c r="R24" s="64"/>
      <c r="S24" s="76"/>
      <c r="T24" s="20"/>
      <c r="U24" s="64"/>
      <c r="V24" s="20"/>
      <c r="W24" s="64"/>
      <c r="X24" s="64"/>
      <c r="Y24" s="47"/>
      <c r="Z24" s="3"/>
      <c r="AD24" s="50"/>
      <c r="AE24" s="50"/>
      <c r="AF24" s="49"/>
      <c r="AG24" s="49"/>
      <c r="AH24" s="77"/>
      <c r="AI24" s="3"/>
      <c r="AJ24" s="50"/>
      <c r="AK24" s="8"/>
      <c r="AL24" s="8"/>
      <c r="AM24" s="8"/>
      <c r="AN24" s="51"/>
    </row>
    <row r="25">
      <c r="A25" s="3"/>
      <c r="B25" s="31" t="s">
        <v>42</v>
      </c>
      <c r="C25" s="72">
        <v>630.0</v>
      </c>
      <c r="D25" s="33" t="s">
        <v>31</v>
      </c>
      <c r="E25" s="33"/>
      <c r="F25" s="33">
        <v>1.0</v>
      </c>
      <c r="G25" s="35" t="s">
        <v>32</v>
      </c>
      <c r="H25" s="35" t="s">
        <v>33</v>
      </c>
      <c r="I25" s="102">
        <v>32.5</v>
      </c>
      <c r="J25" s="33">
        <v>45.0</v>
      </c>
      <c r="K25" s="33">
        <v>3.0</v>
      </c>
      <c r="L25" s="36">
        <f t="shared" ref="L25:L33" si="7">J25-K25</f>
        <v>42</v>
      </c>
      <c r="M25" s="37">
        <f t="shared" ref="M25:M33" si="8">K25/J25</f>
        <v>0.06666666667</v>
      </c>
      <c r="N25" s="38">
        <f>(MAX($M$25:$M$30))</f>
        <v>0.3777777778</v>
      </c>
      <c r="O25" s="38">
        <f>AVERAGE(M25:M30)</f>
        <v>0.137037037</v>
      </c>
      <c r="P25" s="103">
        <f>IF(M28&gt;0.35, J28*M28/0.35, "No llego al 35%")</f>
        <v>48.57142857</v>
      </c>
      <c r="Q25" s="104">
        <f>_xlfn.PERCENTILE.INC(K25:K30,0.95)</f>
        <v>15.2</v>
      </c>
      <c r="R25" s="75">
        <f>AVERAGE(I25:I27)</f>
        <v>35.16666667</v>
      </c>
      <c r="S25" s="76"/>
      <c r="T25" s="43">
        <f> - $R$55 + R25</f>
        <v>-1.333333333</v>
      </c>
      <c r="U25" s="32">
        <f> - $C$55 + C25</f>
        <v>-330</v>
      </c>
      <c r="V25" s="44">
        <f>(T25)/$R$55</f>
        <v>-0.03652968037</v>
      </c>
      <c r="W25" s="45">
        <f>U25/$C$55</f>
        <v>-0.34375</v>
      </c>
      <c r="X25" s="46">
        <v>9.55</v>
      </c>
      <c r="Y25" s="47"/>
      <c r="Z25" s="3"/>
      <c r="AA25" s="48"/>
      <c r="AB25" s="48"/>
      <c r="AC25" s="49"/>
      <c r="AD25" s="50"/>
      <c r="AE25" s="77"/>
      <c r="AF25" s="49"/>
      <c r="AG25" s="49"/>
      <c r="AH25" s="77"/>
      <c r="AI25" s="3"/>
      <c r="AJ25" s="8"/>
      <c r="AK25" s="8"/>
      <c r="AL25" s="8"/>
      <c r="AM25" s="8"/>
      <c r="AN25" s="51"/>
      <c r="AO25" s="52"/>
      <c r="AP25" s="49"/>
      <c r="AQ25" s="90"/>
      <c r="AR25" s="49"/>
      <c r="AS25" s="78"/>
    </row>
    <row r="26">
      <c r="A26" s="3"/>
      <c r="B26" s="54"/>
      <c r="C26" s="55"/>
      <c r="D26" s="56" t="s">
        <v>43</v>
      </c>
      <c r="E26" s="57"/>
      <c r="F26" s="57">
        <v>2.0</v>
      </c>
      <c r="G26" s="35" t="s">
        <v>32</v>
      </c>
      <c r="H26" s="35" t="s">
        <v>33</v>
      </c>
      <c r="I26" s="56">
        <v>37.5</v>
      </c>
      <c r="J26" s="57">
        <v>45.0</v>
      </c>
      <c r="K26" s="57">
        <v>5.0</v>
      </c>
      <c r="L26" s="105">
        <f t="shared" si="7"/>
        <v>40</v>
      </c>
      <c r="M26" s="37">
        <f t="shared" si="8"/>
        <v>0.1111111111</v>
      </c>
      <c r="N26" s="58"/>
      <c r="O26" s="58"/>
      <c r="Q26" s="59"/>
      <c r="R26" s="55"/>
      <c r="S26" s="76"/>
      <c r="T26" s="60"/>
      <c r="U26" s="55"/>
      <c r="V26" s="60"/>
      <c r="W26" s="55"/>
      <c r="X26" s="55"/>
      <c r="Y26" s="47"/>
      <c r="Z26" s="3"/>
      <c r="AD26" s="50"/>
      <c r="AE26" s="50"/>
      <c r="AF26" s="49"/>
      <c r="AG26" s="49"/>
      <c r="AH26" s="77"/>
      <c r="AI26" s="3"/>
      <c r="AJ26" s="8"/>
      <c r="AK26" s="8"/>
      <c r="AL26" s="8"/>
      <c r="AM26" s="8"/>
      <c r="AN26" s="51"/>
    </row>
    <row r="27">
      <c r="A27" s="3"/>
      <c r="B27" s="54"/>
      <c r="C27" s="55"/>
      <c r="D27" s="56" t="s">
        <v>35</v>
      </c>
      <c r="E27" s="57"/>
      <c r="F27" s="57">
        <v>3.0</v>
      </c>
      <c r="G27" s="35" t="s">
        <v>32</v>
      </c>
      <c r="H27" s="35" t="s">
        <v>33</v>
      </c>
      <c r="I27" s="56">
        <v>35.5</v>
      </c>
      <c r="J27" s="57">
        <v>45.0</v>
      </c>
      <c r="K27" s="61">
        <v>8.0</v>
      </c>
      <c r="L27" s="105">
        <f t="shared" si="7"/>
        <v>37</v>
      </c>
      <c r="M27" s="37">
        <f t="shared" si="8"/>
        <v>0.1777777778</v>
      </c>
      <c r="N27" s="58"/>
      <c r="O27" s="58"/>
      <c r="Q27" s="59"/>
      <c r="R27" s="55"/>
      <c r="S27" s="76"/>
      <c r="T27" s="60"/>
      <c r="U27" s="55"/>
      <c r="V27" s="60"/>
      <c r="W27" s="55"/>
      <c r="X27" s="55"/>
      <c r="Y27" s="47"/>
      <c r="Z27" s="3"/>
      <c r="AD27" s="50"/>
      <c r="AE27" s="50"/>
      <c r="AF27" s="49"/>
      <c r="AG27" s="49"/>
      <c r="AH27" s="77"/>
      <c r="AI27" s="3"/>
      <c r="AJ27" s="8"/>
      <c r="AK27" s="8"/>
      <c r="AL27" s="8"/>
      <c r="AM27" s="8"/>
      <c r="AN27" s="51"/>
    </row>
    <row r="28">
      <c r="A28" s="3"/>
      <c r="B28" s="54"/>
      <c r="C28" s="55"/>
      <c r="D28" s="56"/>
      <c r="E28" s="57"/>
      <c r="F28" s="57">
        <v>4.0</v>
      </c>
      <c r="G28" s="35" t="s">
        <v>32</v>
      </c>
      <c r="H28" s="62" t="s">
        <v>33</v>
      </c>
      <c r="I28" s="56">
        <v>24.2</v>
      </c>
      <c r="J28" s="57">
        <v>45.0</v>
      </c>
      <c r="K28" s="61">
        <v>17.0</v>
      </c>
      <c r="L28" s="105">
        <f t="shared" si="7"/>
        <v>28</v>
      </c>
      <c r="M28" s="37">
        <f t="shared" si="8"/>
        <v>0.3777777778</v>
      </c>
      <c r="N28" s="58"/>
      <c r="O28" s="58"/>
      <c r="Q28" s="59"/>
      <c r="R28" s="55"/>
      <c r="S28" s="76"/>
      <c r="T28" s="60"/>
      <c r="U28" s="55"/>
      <c r="V28" s="60"/>
      <c r="W28" s="55"/>
      <c r="X28" s="55"/>
      <c r="Y28" s="47"/>
      <c r="Z28" s="3"/>
      <c r="AD28" s="50"/>
      <c r="AE28" s="50"/>
      <c r="AF28" s="49"/>
      <c r="AG28" s="49"/>
      <c r="AH28" s="77"/>
      <c r="AI28" s="3"/>
      <c r="AJ28" s="8"/>
      <c r="AK28" s="8"/>
      <c r="AL28" s="8"/>
      <c r="AM28" s="8"/>
      <c r="AN28" s="51"/>
      <c r="AS28" s="78"/>
    </row>
    <row r="29">
      <c r="A29" s="3"/>
      <c r="B29" s="54"/>
      <c r="C29" s="55"/>
      <c r="D29" s="57"/>
      <c r="E29" s="57"/>
      <c r="F29" s="57">
        <v>5.0</v>
      </c>
      <c r="G29" s="35" t="s">
        <v>32</v>
      </c>
      <c r="H29" s="35" t="s">
        <v>33</v>
      </c>
      <c r="I29" s="56" t="s">
        <v>44</v>
      </c>
      <c r="J29" s="57">
        <v>45.0</v>
      </c>
      <c r="K29" s="57"/>
      <c r="L29" s="105">
        <f t="shared" si="7"/>
        <v>45</v>
      </c>
      <c r="M29" s="37">
        <f t="shared" si="8"/>
        <v>0</v>
      </c>
      <c r="N29" s="58"/>
      <c r="O29" s="58"/>
      <c r="Q29" s="59"/>
      <c r="R29" s="55"/>
      <c r="S29" s="76"/>
      <c r="T29" s="60"/>
      <c r="U29" s="55"/>
      <c r="V29" s="60"/>
      <c r="W29" s="55"/>
      <c r="X29" s="55"/>
      <c r="Y29" s="47"/>
      <c r="Z29" s="3"/>
      <c r="AD29" s="50"/>
      <c r="AE29" s="50"/>
      <c r="AF29" s="49"/>
      <c r="AG29" s="49"/>
      <c r="AH29" s="77"/>
      <c r="AI29" s="3"/>
      <c r="AJ29" s="8"/>
      <c r="AK29" s="8"/>
      <c r="AL29" s="8"/>
      <c r="AM29" s="8"/>
      <c r="AN29" s="51"/>
    </row>
    <row r="30">
      <c r="A30" s="3"/>
      <c r="B30" s="63"/>
      <c r="C30" s="64"/>
      <c r="D30" s="65"/>
      <c r="E30" s="65"/>
      <c r="F30" s="65">
        <v>6.0</v>
      </c>
      <c r="G30" s="66" t="s">
        <v>32</v>
      </c>
      <c r="H30" s="66" t="s">
        <v>33</v>
      </c>
      <c r="I30" s="106">
        <v>21.5</v>
      </c>
      <c r="J30" s="65">
        <v>45.0</v>
      </c>
      <c r="K30" s="65">
        <v>4.0</v>
      </c>
      <c r="L30" s="107">
        <f t="shared" si="7"/>
        <v>41</v>
      </c>
      <c r="M30" s="68">
        <f t="shared" si="8"/>
        <v>0.08888888889</v>
      </c>
      <c r="N30" s="69"/>
      <c r="O30" s="69"/>
      <c r="P30" s="70"/>
      <c r="Q30" s="71"/>
      <c r="R30" s="64"/>
      <c r="S30" s="76"/>
      <c r="T30" s="20"/>
      <c r="U30" s="64"/>
      <c r="V30" s="20"/>
      <c r="W30" s="64"/>
      <c r="X30" s="64"/>
      <c r="Y30" s="47"/>
      <c r="Z30" s="3"/>
      <c r="AD30" s="50"/>
      <c r="AE30" s="50"/>
      <c r="AF30" s="49"/>
      <c r="AG30" s="49"/>
      <c r="AH30" s="77"/>
      <c r="AI30" s="3"/>
      <c r="AJ30" s="8"/>
      <c r="AK30" s="8"/>
      <c r="AL30" s="8"/>
      <c r="AM30" s="8"/>
      <c r="AN30" s="51"/>
    </row>
    <row r="31">
      <c r="A31" s="3"/>
      <c r="B31" s="31" t="s">
        <v>45</v>
      </c>
      <c r="C31" s="72">
        <v>635.0</v>
      </c>
      <c r="D31" s="108" t="s">
        <v>31</v>
      </c>
      <c r="E31" s="33"/>
      <c r="F31" s="33">
        <v>1.0</v>
      </c>
      <c r="G31" s="35" t="s">
        <v>32</v>
      </c>
      <c r="H31" s="35" t="s">
        <v>33</v>
      </c>
      <c r="I31" s="102">
        <v>35.5</v>
      </c>
      <c r="J31" s="33">
        <v>45.0</v>
      </c>
      <c r="K31" s="33">
        <v>10.0</v>
      </c>
      <c r="L31" s="36">
        <f t="shared" si="7"/>
        <v>35</v>
      </c>
      <c r="M31" s="37">
        <f t="shared" si="8"/>
        <v>0.2222222222</v>
      </c>
      <c r="N31" s="38">
        <f>(MAX($M$31:$M$36))</f>
        <v>0.3111111111</v>
      </c>
      <c r="O31" s="38">
        <f>AVERAGE(M31:M36)</f>
        <v>0.2055555556</v>
      </c>
      <c r="P31" s="74" t="str">
        <f>IF(M32&gt;0.35, J31*M32/0.35, "No llego al 35%")</f>
        <v>No llego al 35%</v>
      </c>
      <c r="Q31" s="104">
        <f>_xlfn.PERCENTILE.INC(K31:K36,0.95)</f>
        <v>13.4</v>
      </c>
      <c r="R31" s="75">
        <f>AVERAGE(I31:I33)</f>
        <v>35.83333333</v>
      </c>
      <c r="S31" s="76"/>
      <c r="T31" s="43">
        <f> - $R$55 + R31</f>
        <v>-0.6666666667</v>
      </c>
      <c r="U31" s="32">
        <f> - $C$55 + C31</f>
        <v>-325</v>
      </c>
      <c r="V31" s="44">
        <f>(T31)/$R$55</f>
        <v>-0.01826484018</v>
      </c>
      <c r="W31" s="45">
        <f>U31/$C$55</f>
        <v>-0.3385416667</v>
      </c>
      <c r="X31" s="46">
        <v>9.8</v>
      </c>
      <c r="Y31" s="47"/>
      <c r="Z31" s="3"/>
      <c r="AA31" s="48"/>
      <c r="AB31" s="48"/>
      <c r="AC31" s="50"/>
      <c r="AD31" s="50"/>
      <c r="AE31" s="50"/>
      <c r="AF31" s="49"/>
      <c r="AG31" s="49"/>
      <c r="AH31" s="77"/>
      <c r="AI31" s="3"/>
      <c r="AJ31" s="50"/>
      <c r="AK31" s="50"/>
      <c r="AL31" s="50"/>
      <c r="AM31" s="50"/>
      <c r="AN31" s="51"/>
      <c r="AO31" s="52"/>
      <c r="AP31" s="49"/>
      <c r="AQ31" s="49"/>
      <c r="AR31" s="49"/>
      <c r="AS31" s="78"/>
    </row>
    <row r="32">
      <c r="A32" s="3"/>
      <c r="B32" s="54"/>
      <c r="C32" s="55"/>
      <c r="D32" s="56" t="s">
        <v>46</v>
      </c>
      <c r="E32" s="57"/>
      <c r="F32" s="57">
        <v>2.0</v>
      </c>
      <c r="G32" s="35" t="s">
        <v>32</v>
      </c>
      <c r="H32" s="35" t="s">
        <v>33</v>
      </c>
      <c r="I32" s="56">
        <v>36.0</v>
      </c>
      <c r="J32" s="57">
        <v>45.0</v>
      </c>
      <c r="K32" s="61">
        <v>14.0</v>
      </c>
      <c r="L32" s="105">
        <f t="shared" si="7"/>
        <v>31</v>
      </c>
      <c r="M32" s="37">
        <f t="shared" si="8"/>
        <v>0.3111111111</v>
      </c>
      <c r="N32" s="58"/>
      <c r="O32" s="58"/>
      <c r="Q32" s="59"/>
      <c r="R32" s="55"/>
      <c r="S32" s="76"/>
      <c r="T32" s="60"/>
      <c r="U32" s="55"/>
      <c r="V32" s="60"/>
      <c r="W32" s="55"/>
      <c r="X32" s="55"/>
      <c r="Y32" s="47"/>
      <c r="Z32" s="3"/>
      <c r="AD32" s="50"/>
      <c r="AE32" s="50"/>
      <c r="AF32" s="49"/>
      <c r="AG32" s="49"/>
      <c r="AH32" s="77"/>
      <c r="AI32" s="3"/>
      <c r="AJ32" s="50"/>
      <c r="AK32" s="50"/>
      <c r="AL32" s="50"/>
      <c r="AM32" s="50"/>
      <c r="AN32" s="51"/>
    </row>
    <row r="33">
      <c r="A33" s="3"/>
      <c r="B33" s="54"/>
      <c r="C33" s="55"/>
      <c r="D33" s="56" t="s">
        <v>35</v>
      </c>
      <c r="E33" s="57"/>
      <c r="F33" s="57">
        <v>3.0</v>
      </c>
      <c r="G33" s="35" t="s">
        <v>32</v>
      </c>
      <c r="H33" s="62" t="s">
        <v>33</v>
      </c>
      <c r="I33" s="56">
        <v>36.0</v>
      </c>
      <c r="J33" s="57">
        <v>45.0</v>
      </c>
      <c r="K33" s="57">
        <v>8.0</v>
      </c>
      <c r="L33" s="105">
        <f t="shared" si="7"/>
        <v>37</v>
      </c>
      <c r="M33" s="37">
        <f t="shared" si="8"/>
        <v>0.1777777778</v>
      </c>
      <c r="N33" s="58"/>
      <c r="O33" s="58"/>
      <c r="Q33" s="59"/>
      <c r="R33" s="55"/>
      <c r="S33" s="76"/>
      <c r="T33" s="60"/>
      <c r="U33" s="55"/>
      <c r="V33" s="60"/>
      <c r="W33" s="55"/>
      <c r="X33" s="55"/>
      <c r="Y33" s="47"/>
      <c r="Z33" s="3"/>
      <c r="AD33" s="50"/>
      <c r="AE33" s="50"/>
      <c r="AF33" s="49"/>
      <c r="AG33" s="49"/>
      <c r="AH33" s="77"/>
      <c r="AI33" s="3"/>
      <c r="AJ33" s="50"/>
      <c r="AK33" s="50"/>
      <c r="AL33" s="50"/>
      <c r="AM33" s="50"/>
      <c r="AN33" s="51"/>
    </row>
    <row r="34">
      <c r="A34" s="3"/>
      <c r="B34" s="54"/>
      <c r="C34" s="55"/>
      <c r="D34" s="56"/>
      <c r="E34" s="57"/>
      <c r="F34" s="57"/>
      <c r="G34" s="62"/>
      <c r="H34" s="62"/>
      <c r="I34" s="56"/>
      <c r="J34" s="57"/>
      <c r="K34" s="57"/>
      <c r="L34" s="105"/>
      <c r="M34" s="37"/>
      <c r="N34" s="58"/>
      <c r="O34" s="58"/>
      <c r="Q34" s="59"/>
      <c r="R34" s="55"/>
      <c r="S34" s="76"/>
      <c r="T34" s="60"/>
      <c r="U34" s="55"/>
      <c r="V34" s="60"/>
      <c r="W34" s="55"/>
      <c r="X34" s="55"/>
      <c r="Y34" s="47"/>
      <c r="Z34" s="3"/>
      <c r="AC34" s="50"/>
      <c r="AD34" s="50"/>
      <c r="AE34" s="50"/>
      <c r="AF34" s="49"/>
      <c r="AG34" s="49"/>
      <c r="AH34" s="77"/>
      <c r="AI34" s="3"/>
      <c r="AJ34" s="50"/>
      <c r="AK34" s="50"/>
      <c r="AL34" s="50"/>
      <c r="AM34" s="50"/>
      <c r="AN34" s="51"/>
      <c r="AO34" s="52"/>
      <c r="AP34" s="49"/>
      <c r="AQ34" s="49"/>
      <c r="AS34" s="53"/>
    </row>
    <row r="35">
      <c r="A35" s="3"/>
      <c r="B35" s="54"/>
      <c r="C35" s="55"/>
      <c r="D35" s="57"/>
      <c r="E35" s="57"/>
      <c r="F35" s="57"/>
      <c r="G35" s="35"/>
      <c r="H35" s="35"/>
      <c r="I35" s="56"/>
      <c r="J35" s="57"/>
      <c r="K35" s="57"/>
      <c r="L35" s="105"/>
      <c r="M35" s="37"/>
      <c r="N35" s="58"/>
      <c r="O35" s="58"/>
      <c r="Q35" s="59"/>
      <c r="R35" s="55"/>
      <c r="S35" s="76"/>
      <c r="T35" s="60"/>
      <c r="U35" s="55"/>
      <c r="V35" s="60"/>
      <c r="W35" s="55"/>
      <c r="X35" s="55"/>
      <c r="Y35" s="47"/>
      <c r="Z35" s="3"/>
      <c r="AD35" s="50"/>
      <c r="AE35" s="50"/>
      <c r="AF35" s="49"/>
      <c r="AG35" s="49"/>
      <c r="AH35" s="77"/>
      <c r="AI35" s="3"/>
      <c r="AJ35" s="50"/>
      <c r="AK35" s="50"/>
      <c r="AL35" s="50"/>
      <c r="AM35" s="50"/>
      <c r="AN35" s="51"/>
    </row>
    <row r="36">
      <c r="A36" s="3"/>
      <c r="B36" s="63"/>
      <c r="C36" s="64"/>
      <c r="D36" s="109"/>
      <c r="E36" s="65"/>
      <c r="F36" s="65">
        <v>6.0</v>
      </c>
      <c r="G36" s="66" t="s">
        <v>32</v>
      </c>
      <c r="H36" s="66" t="s">
        <v>33</v>
      </c>
      <c r="I36" s="106">
        <v>27.5</v>
      </c>
      <c r="J36" s="65">
        <v>45.0</v>
      </c>
      <c r="K36" s="65">
        <v>5.0</v>
      </c>
      <c r="L36" s="107">
        <f t="shared" ref="L36:L39" si="9">J36-K36</f>
        <v>40</v>
      </c>
      <c r="M36" s="68">
        <f t="shared" ref="M36:M39" si="10">K36/J36</f>
        <v>0.1111111111</v>
      </c>
      <c r="N36" s="69"/>
      <c r="O36" s="69"/>
      <c r="P36" s="70"/>
      <c r="Q36" s="71"/>
      <c r="R36" s="64"/>
      <c r="S36" s="76"/>
      <c r="T36" s="20"/>
      <c r="U36" s="64"/>
      <c r="V36" s="20"/>
      <c r="W36" s="64"/>
      <c r="X36" s="64"/>
      <c r="Y36" s="47"/>
      <c r="Z36" s="3"/>
      <c r="AD36" s="50"/>
      <c r="AE36" s="50"/>
      <c r="AF36" s="49"/>
      <c r="AG36" s="49"/>
      <c r="AH36" s="77"/>
      <c r="AI36" s="3"/>
      <c r="AJ36" s="77"/>
      <c r="AK36" s="50"/>
      <c r="AL36" s="77"/>
      <c r="AM36" s="77"/>
      <c r="AN36" s="51"/>
    </row>
    <row r="37">
      <c r="A37" s="3"/>
      <c r="B37" s="31" t="s">
        <v>47</v>
      </c>
      <c r="C37" s="72">
        <v>695.0</v>
      </c>
      <c r="D37" s="108" t="s">
        <v>31</v>
      </c>
      <c r="E37" s="33"/>
      <c r="F37" s="33">
        <v>1.0</v>
      </c>
      <c r="G37" s="35" t="s">
        <v>32</v>
      </c>
      <c r="H37" s="35" t="s">
        <v>33</v>
      </c>
      <c r="I37" s="102">
        <v>30.0</v>
      </c>
      <c r="J37" s="33">
        <v>45.0</v>
      </c>
      <c r="K37" s="33">
        <v>5.0</v>
      </c>
      <c r="L37" s="36">
        <f t="shared" si="9"/>
        <v>40</v>
      </c>
      <c r="M37" s="37">
        <f t="shared" si="10"/>
        <v>0.1111111111</v>
      </c>
      <c r="N37" s="38">
        <f>(MAX($M$37:$M$42))</f>
        <v>0.1555555556</v>
      </c>
      <c r="O37" s="38">
        <f>AVERAGE(M37:M42)</f>
        <v>0.1277777778</v>
      </c>
      <c r="P37" s="38" t="str">
        <f>IF(M38&gt;0.35, J37*M38/0.35, "No llego al 35%")</f>
        <v>No llego al 35%</v>
      </c>
      <c r="Q37" s="104">
        <f>_xlfn.PERCENTILE.INC(K37:K42,0.95)</f>
        <v>6.85</v>
      </c>
      <c r="R37" s="75">
        <f>AVERAGE(I37:I39)</f>
        <v>31.16666667</v>
      </c>
      <c r="S37" s="76"/>
      <c r="T37" s="43">
        <f> - $R$55 + R37</f>
        <v>-5.333333333</v>
      </c>
      <c r="U37" s="32">
        <f> - $C$55 + C37</f>
        <v>-265</v>
      </c>
      <c r="V37" s="44">
        <f>(T37)/$R$55</f>
        <v>-0.1461187215</v>
      </c>
      <c r="W37" s="45">
        <f>U37/$C$55</f>
        <v>-0.2760416667</v>
      </c>
      <c r="X37" s="46">
        <v>10.66</v>
      </c>
      <c r="Y37" s="47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>
      <c r="A38" s="3"/>
      <c r="B38" s="54"/>
      <c r="C38" s="55"/>
      <c r="D38" s="56" t="s">
        <v>48</v>
      </c>
      <c r="E38" s="57"/>
      <c r="F38" s="57">
        <v>2.0</v>
      </c>
      <c r="G38" s="35" t="s">
        <v>32</v>
      </c>
      <c r="H38" s="35" t="s">
        <v>33</v>
      </c>
      <c r="I38" s="56">
        <v>31.5</v>
      </c>
      <c r="J38" s="57">
        <v>45.0</v>
      </c>
      <c r="K38" s="61">
        <v>7.0</v>
      </c>
      <c r="L38" s="105">
        <f t="shared" si="9"/>
        <v>38</v>
      </c>
      <c r="M38" s="37">
        <f t="shared" si="10"/>
        <v>0.1555555556</v>
      </c>
      <c r="N38" s="58"/>
      <c r="O38" s="58"/>
      <c r="P38" s="58"/>
      <c r="Q38" s="59"/>
      <c r="R38" s="55"/>
      <c r="S38" s="76"/>
      <c r="T38" s="60"/>
      <c r="U38" s="55"/>
      <c r="V38" s="60"/>
      <c r="W38" s="55"/>
      <c r="X38" s="55"/>
      <c r="Y38" s="47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>
      <c r="A39" s="3"/>
      <c r="B39" s="54"/>
      <c r="C39" s="55"/>
      <c r="D39" s="56" t="s">
        <v>35</v>
      </c>
      <c r="E39" s="57"/>
      <c r="F39" s="57">
        <v>3.0</v>
      </c>
      <c r="G39" s="62" t="s">
        <v>32</v>
      </c>
      <c r="H39" s="62" t="s">
        <v>33</v>
      </c>
      <c r="I39" s="56">
        <v>32.0</v>
      </c>
      <c r="J39" s="57">
        <v>45.0</v>
      </c>
      <c r="K39" s="57">
        <v>6.0</v>
      </c>
      <c r="L39" s="105">
        <f t="shared" si="9"/>
        <v>39</v>
      </c>
      <c r="M39" s="37">
        <f t="shared" si="10"/>
        <v>0.1333333333</v>
      </c>
      <c r="N39" s="58"/>
      <c r="O39" s="58"/>
      <c r="P39" s="58"/>
      <c r="Q39" s="59"/>
      <c r="R39" s="55"/>
      <c r="S39" s="76"/>
      <c r="T39" s="60"/>
      <c r="U39" s="55"/>
      <c r="V39" s="60"/>
      <c r="W39" s="55"/>
      <c r="X39" s="55"/>
      <c r="Y39" s="47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>
      <c r="A40" s="3"/>
      <c r="B40" s="54"/>
      <c r="C40" s="55"/>
      <c r="D40" s="56"/>
      <c r="E40" s="57"/>
      <c r="F40" s="57"/>
      <c r="G40" s="62"/>
      <c r="H40" s="62"/>
      <c r="I40" s="56"/>
      <c r="J40" s="57"/>
      <c r="K40" s="57"/>
      <c r="L40" s="105"/>
      <c r="M40" s="37"/>
      <c r="N40" s="58"/>
      <c r="O40" s="58"/>
      <c r="P40" s="58"/>
      <c r="Q40" s="59"/>
      <c r="R40" s="55"/>
      <c r="S40" s="76"/>
      <c r="T40" s="60"/>
      <c r="U40" s="55"/>
      <c r="V40" s="60"/>
      <c r="W40" s="55"/>
      <c r="X40" s="55"/>
      <c r="Y40" s="47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>
      <c r="A41" s="3"/>
      <c r="B41" s="54"/>
      <c r="C41" s="55"/>
      <c r="D41" s="57"/>
      <c r="E41" s="57"/>
      <c r="F41" s="57"/>
      <c r="G41" s="35"/>
      <c r="H41" s="35"/>
      <c r="I41" s="56"/>
      <c r="J41" s="57"/>
      <c r="K41" s="57"/>
      <c r="L41" s="105"/>
      <c r="M41" s="37"/>
      <c r="N41" s="58"/>
      <c r="O41" s="58"/>
      <c r="P41" s="58"/>
      <c r="Q41" s="59"/>
      <c r="R41" s="55"/>
      <c r="S41" s="76"/>
      <c r="T41" s="60"/>
      <c r="U41" s="55"/>
      <c r="V41" s="60"/>
      <c r="W41" s="55"/>
      <c r="X41" s="55"/>
      <c r="Y41" s="47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>
      <c r="A42" s="3"/>
      <c r="B42" s="63"/>
      <c r="C42" s="64"/>
      <c r="D42" s="109"/>
      <c r="E42" s="65"/>
      <c r="F42" s="65">
        <v>6.0</v>
      </c>
      <c r="G42" s="66" t="s">
        <v>32</v>
      </c>
      <c r="H42" s="66" t="s">
        <v>33</v>
      </c>
      <c r="I42" s="106">
        <v>24.5</v>
      </c>
      <c r="J42" s="65">
        <v>45.0</v>
      </c>
      <c r="K42" s="65">
        <v>5.0</v>
      </c>
      <c r="L42" s="107">
        <f t="shared" ref="L42:L45" si="11">J42-K42</f>
        <v>40</v>
      </c>
      <c r="M42" s="68">
        <f t="shared" ref="M42:M45" si="12">K42/J42</f>
        <v>0.1111111111</v>
      </c>
      <c r="N42" s="69"/>
      <c r="O42" s="69"/>
      <c r="P42" s="69"/>
      <c r="Q42" s="71"/>
      <c r="R42" s="64"/>
      <c r="S42" s="76"/>
      <c r="T42" s="20"/>
      <c r="U42" s="64"/>
      <c r="V42" s="20"/>
      <c r="W42" s="64"/>
      <c r="X42" s="64"/>
      <c r="Y42" s="47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>
      <c r="A43" s="3"/>
      <c r="B43" s="31" t="s">
        <v>49</v>
      </c>
      <c r="C43" s="72">
        <v>720.0</v>
      </c>
      <c r="D43" s="108" t="s">
        <v>31</v>
      </c>
      <c r="E43" s="33"/>
      <c r="F43" s="33">
        <v>1.0</v>
      </c>
      <c r="G43" s="35" t="s">
        <v>32</v>
      </c>
      <c r="H43" s="35" t="s">
        <v>33</v>
      </c>
      <c r="I43" s="102">
        <v>33.5</v>
      </c>
      <c r="J43" s="33">
        <v>45.0</v>
      </c>
      <c r="K43" s="73">
        <v>6.0</v>
      </c>
      <c r="L43" s="36">
        <f t="shared" si="11"/>
        <v>39</v>
      </c>
      <c r="M43" s="37">
        <f t="shared" si="12"/>
        <v>0.1333333333</v>
      </c>
      <c r="N43" s="38">
        <f>(MAX($M$43:$M$48))</f>
        <v>0.1333333333</v>
      </c>
      <c r="O43" s="38">
        <f>AVERAGE(M43:M48)</f>
        <v>0.1</v>
      </c>
      <c r="P43" s="74" t="str">
        <f>IF(M43&gt;0.35, J43*M43/0.35, "No llego al 35%")</f>
        <v>No llego al 35%</v>
      </c>
      <c r="Q43" s="104">
        <f>_xlfn.PERCENTILE.INC(K43:K48,0.95)</f>
        <v>5.85</v>
      </c>
      <c r="R43" s="75">
        <f>AVERAGE(I43:I45)</f>
        <v>34.16666667</v>
      </c>
      <c r="S43" s="76"/>
      <c r="T43" s="43">
        <f> - $R$55 + R43</f>
        <v>-2.333333333</v>
      </c>
      <c r="U43" s="32">
        <f> - $C$55 + C43</f>
        <v>-240</v>
      </c>
      <c r="V43" s="44">
        <f>(T43)/$R$55</f>
        <v>-0.06392694064</v>
      </c>
      <c r="W43" s="45">
        <f>U43/$C$55</f>
        <v>-0.25</v>
      </c>
      <c r="X43" s="46">
        <v>10.15</v>
      </c>
      <c r="Y43" s="47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>
      <c r="A44" s="3"/>
      <c r="B44" s="54"/>
      <c r="C44" s="55"/>
      <c r="D44" s="56" t="s">
        <v>50</v>
      </c>
      <c r="E44" s="57"/>
      <c r="F44" s="57">
        <v>2.0</v>
      </c>
      <c r="G44" s="35" t="s">
        <v>32</v>
      </c>
      <c r="H44" s="35" t="s">
        <v>33</v>
      </c>
      <c r="I44" s="56">
        <v>35.0</v>
      </c>
      <c r="J44" s="57">
        <v>45.0</v>
      </c>
      <c r="K44" s="57">
        <v>4.0</v>
      </c>
      <c r="L44" s="105">
        <f t="shared" si="11"/>
        <v>41</v>
      </c>
      <c r="M44" s="37">
        <f t="shared" si="12"/>
        <v>0.08888888889</v>
      </c>
      <c r="N44" s="58"/>
      <c r="O44" s="58"/>
      <c r="Q44" s="59"/>
      <c r="R44" s="55"/>
      <c r="S44" s="76"/>
      <c r="T44" s="60"/>
      <c r="U44" s="55"/>
      <c r="V44" s="60"/>
      <c r="W44" s="55"/>
      <c r="X44" s="55"/>
      <c r="Y44" s="47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>
      <c r="A45" s="3"/>
      <c r="B45" s="54"/>
      <c r="C45" s="55"/>
      <c r="D45" s="56" t="s">
        <v>35</v>
      </c>
      <c r="E45" s="57"/>
      <c r="F45" s="57">
        <v>3.0</v>
      </c>
      <c r="G45" s="62" t="s">
        <v>32</v>
      </c>
      <c r="H45" s="62" t="s">
        <v>33</v>
      </c>
      <c r="I45" s="56">
        <v>34.0</v>
      </c>
      <c r="J45" s="57">
        <v>45.0</v>
      </c>
      <c r="K45" s="57">
        <v>5.0</v>
      </c>
      <c r="L45" s="105">
        <f t="shared" si="11"/>
        <v>40</v>
      </c>
      <c r="M45" s="37">
        <f t="shared" si="12"/>
        <v>0.1111111111</v>
      </c>
      <c r="N45" s="58"/>
      <c r="O45" s="58"/>
      <c r="Q45" s="59"/>
      <c r="R45" s="55"/>
      <c r="S45" s="76"/>
      <c r="T45" s="60"/>
      <c r="U45" s="55"/>
      <c r="V45" s="60"/>
      <c r="W45" s="55"/>
      <c r="X45" s="55"/>
      <c r="Y45" s="47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>
      <c r="A46" s="3"/>
      <c r="B46" s="54"/>
      <c r="C46" s="55"/>
      <c r="D46" s="56"/>
      <c r="E46" s="57"/>
      <c r="F46" s="57"/>
      <c r="G46" s="62"/>
      <c r="H46" s="62"/>
      <c r="I46" s="56"/>
      <c r="J46" s="57"/>
      <c r="K46" s="57"/>
      <c r="L46" s="105"/>
      <c r="M46" s="37"/>
      <c r="N46" s="58"/>
      <c r="O46" s="58"/>
      <c r="Q46" s="59"/>
      <c r="R46" s="55"/>
      <c r="S46" s="76"/>
      <c r="T46" s="60"/>
      <c r="U46" s="55"/>
      <c r="V46" s="60"/>
      <c r="W46" s="55"/>
      <c r="X46" s="55"/>
      <c r="Y46" s="47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>
      <c r="A47" s="3"/>
      <c r="B47" s="54"/>
      <c r="C47" s="55"/>
      <c r="D47" s="57"/>
      <c r="E47" s="57"/>
      <c r="F47" s="57"/>
      <c r="G47" s="35"/>
      <c r="H47" s="35"/>
      <c r="I47" s="56"/>
      <c r="J47" s="57"/>
      <c r="K47" s="57"/>
      <c r="L47" s="105"/>
      <c r="M47" s="37"/>
      <c r="N47" s="58"/>
      <c r="O47" s="58"/>
      <c r="Q47" s="59"/>
      <c r="R47" s="55"/>
      <c r="S47" s="76"/>
      <c r="T47" s="60"/>
      <c r="U47" s="55"/>
      <c r="V47" s="60"/>
      <c r="W47" s="55"/>
      <c r="X47" s="55"/>
      <c r="Y47" s="47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>
      <c r="A48" s="3"/>
      <c r="B48" s="63"/>
      <c r="C48" s="64"/>
      <c r="D48" s="109"/>
      <c r="E48" s="65"/>
      <c r="F48" s="65">
        <v>6.0</v>
      </c>
      <c r="G48" s="66" t="s">
        <v>32</v>
      </c>
      <c r="H48" s="66" t="s">
        <v>33</v>
      </c>
      <c r="I48" s="106">
        <v>28.0</v>
      </c>
      <c r="J48" s="65">
        <v>45.0</v>
      </c>
      <c r="K48" s="65">
        <v>3.0</v>
      </c>
      <c r="L48" s="107">
        <f t="shared" ref="L48:L51" si="13">J48-K48</f>
        <v>42</v>
      </c>
      <c r="M48" s="68">
        <f t="shared" ref="M48:M51" si="14">K48/J48</f>
        <v>0.06666666667</v>
      </c>
      <c r="N48" s="69"/>
      <c r="O48" s="69"/>
      <c r="P48" s="70"/>
      <c r="Q48" s="71"/>
      <c r="R48" s="64"/>
      <c r="S48" s="76"/>
      <c r="T48" s="20"/>
      <c r="U48" s="64"/>
      <c r="V48" s="20"/>
      <c r="W48" s="64"/>
      <c r="X48" s="64"/>
      <c r="Y48" s="47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>
      <c r="A49" s="3"/>
      <c r="B49" s="110" t="s">
        <v>51</v>
      </c>
      <c r="C49" s="111">
        <v>705.0</v>
      </c>
      <c r="D49" s="112" t="s">
        <v>31</v>
      </c>
      <c r="E49" s="113"/>
      <c r="F49" s="113">
        <v>1.0</v>
      </c>
      <c r="G49" s="114" t="s">
        <v>32</v>
      </c>
      <c r="H49" s="114" t="s">
        <v>33</v>
      </c>
      <c r="I49" s="115">
        <v>26.5</v>
      </c>
      <c r="J49" s="113">
        <v>45.0</v>
      </c>
      <c r="K49" s="113">
        <v>2.0</v>
      </c>
      <c r="L49" s="116">
        <f t="shared" si="13"/>
        <v>43</v>
      </c>
      <c r="M49" s="117">
        <f t="shared" si="14"/>
        <v>0.04444444444</v>
      </c>
      <c r="N49" s="118">
        <f>(MAX($M$49:$M$54))</f>
        <v>0.1555555556</v>
      </c>
      <c r="O49" s="118">
        <f>AVERAGE(M49:M54)</f>
        <v>0.08888888889</v>
      </c>
      <c r="P49" s="119" t="str">
        <f>IF(M51&gt;0.35, J49*M61/0.35, "No llego al 35%")</f>
        <v>No llego al 35%</v>
      </c>
      <c r="Q49" s="120">
        <f>_xlfn.PERCENTILE.INC(K49:K54,0.95)</f>
        <v>6.55</v>
      </c>
      <c r="R49" s="121">
        <f>AVERAGE(I49:I51)</f>
        <v>28.5</v>
      </c>
      <c r="S49" s="76"/>
      <c r="T49" s="43">
        <f> - $R$55 + R49</f>
        <v>-8</v>
      </c>
      <c r="U49" s="32">
        <f> - $C$55 + C49</f>
        <v>-255</v>
      </c>
      <c r="V49" s="44">
        <f>(T49)/$R$55</f>
        <v>-0.2191780822</v>
      </c>
      <c r="W49" s="45">
        <f>U49/$C$55</f>
        <v>-0.265625</v>
      </c>
      <c r="X49" s="46">
        <v>9.63</v>
      </c>
      <c r="Y49" s="47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>
      <c r="A50" s="3"/>
      <c r="B50" s="54"/>
      <c r="C50" s="55"/>
      <c r="D50" s="122" t="s">
        <v>52</v>
      </c>
      <c r="E50" s="123"/>
      <c r="F50" s="123">
        <v>2.0</v>
      </c>
      <c r="G50" s="114" t="s">
        <v>32</v>
      </c>
      <c r="H50" s="114" t="s">
        <v>33</v>
      </c>
      <c r="I50" s="122">
        <v>30.0</v>
      </c>
      <c r="J50" s="123">
        <v>45.0</v>
      </c>
      <c r="K50" s="123">
        <v>4.0</v>
      </c>
      <c r="L50" s="124">
        <f t="shared" si="13"/>
        <v>41</v>
      </c>
      <c r="M50" s="117">
        <f t="shared" si="14"/>
        <v>0.08888888889</v>
      </c>
      <c r="N50" s="58"/>
      <c r="O50" s="58"/>
      <c r="Q50" s="59"/>
      <c r="R50" s="55"/>
      <c r="S50" s="76"/>
      <c r="T50" s="60"/>
      <c r="U50" s="55"/>
      <c r="V50" s="60"/>
      <c r="W50" s="55"/>
      <c r="X50" s="55"/>
      <c r="Y50" s="47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>
      <c r="A51" s="3"/>
      <c r="B51" s="54"/>
      <c r="C51" s="55"/>
      <c r="D51" s="122" t="s">
        <v>35</v>
      </c>
      <c r="E51" s="123"/>
      <c r="F51" s="123">
        <v>3.0</v>
      </c>
      <c r="G51" s="123" t="s">
        <v>32</v>
      </c>
      <c r="H51" s="123" t="s">
        <v>33</v>
      </c>
      <c r="I51" s="122">
        <v>29.0</v>
      </c>
      <c r="J51" s="123">
        <v>45.0</v>
      </c>
      <c r="K51" s="125">
        <v>7.0</v>
      </c>
      <c r="L51" s="124">
        <f t="shared" si="13"/>
        <v>38</v>
      </c>
      <c r="M51" s="117">
        <f t="shared" si="14"/>
        <v>0.1555555556</v>
      </c>
      <c r="N51" s="58"/>
      <c r="O51" s="58"/>
      <c r="Q51" s="59"/>
      <c r="R51" s="55"/>
      <c r="S51" s="76"/>
      <c r="T51" s="60"/>
      <c r="U51" s="55"/>
      <c r="V51" s="60"/>
      <c r="W51" s="55"/>
      <c r="X51" s="55"/>
      <c r="Y51" s="47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>
      <c r="A52" s="3"/>
      <c r="B52" s="54"/>
      <c r="C52" s="55"/>
      <c r="D52" s="122"/>
      <c r="E52" s="123"/>
      <c r="F52" s="123"/>
      <c r="G52" s="123"/>
      <c r="H52" s="123"/>
      <c r="I52" s="122"/>
      <c r="J52" s="123"/>
      <c r="K52" s="123"/>
      <c r="L52" s="124"/>
      <c r="M52" s="117"/>
      <c r="N52" s="58"/>
      <c r="O52" s="58"/>
      <c r="Q52" s="59"/>
      <c r="R52" s="55"/>
      <c r="S52" s="76"/>
      <c r="T52" s="60"/>
      <c r="U52" s="55"/>
      <c r="V52" s="60"/>
      <c r="W52" s="55"/>
      <c r="X52" s="55"/>
      <c r="Y52" s="47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>
      <c r="A53" s="3"/>
      <c r="B53" s="54"/>
      <c r="C53" s="55"/>
      <c r="D53" s="123"/>
      <c r="E53" s="123"/>
      <c r="F53" s="123"/>
      <c r="G53" s="114"/>
      <c r="H53" s="114"/>
      <c r="I53" s="122"/>
      <c r="J53" s="123"/>
      <c r="K53" s="123"/>
      <c r="L53" s="124"/>
      <c r="M53" s="117"/>
      <c r="N53" s="58"/>
      <c r="O53" s="58"/>
      <c r="Q53" s="59"/>
      <c r="R53" s="55"/>
      <c r="S53" s="76"/>
      <c r="T53" s="60"/>
      <c r="U53" s="55"/>
      <c r="V53" s="60"/>
      <c r="W53" s="55"/>
      <c r="X53" s="55"/>
      <c r="Y53" s="47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>
      <c r="A54" s="3"/>
      <c r="B54" s="63"/>
      <c r="C54" s="64"/>
      <c r="D54" s="126"/>
      <c r="E54" s="127"/>
      <c r="F54" s="127"/>
      <c r="G54" s="128"/>
      <c r="H54" s="128" t="s">
        <v>33</v>
      </c>
      <c r="I54" s="129">
        <v>21.0</v>
      </c>
      <c r="J54" s="127">
        <v>45.0</v>
      </c>
      <c r="K54" s="127">
        <v>3.0</v>
      </c>
      <c r="L54" s="130">
        <f t="shared" ref="L54:L57" si="15">J54-K54</f>
        <v>42</v>
      </c>
      <c r="M54" s="131">
        <f t="shared" ref="M54:M57" si="16">K54/J54</f>
        <v>0.06666666667</v>
      </c>
      <c r="N54" s="69"/>
      <c r="O54" s="69"/>
      <c r="P54" s="70"/>
      <c r="Q54" s="71"/>
      <c r="R54" s="64"/>
      <c r="S54" s="76"/>
      <c r="T54" s="20"/>
      <c r="U54" s="64"/>
      <c r="V54" s="20"/>
      <c r="W54" s="64"/>
      <c r="X54" s="64"/>
      <c r="Y54" s="47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>
      <c r="A55" s="3"/>
      <c r="B55" s="31" t="s">
        <v>53</v>
      </c>
      <c r="C55" s="72">
        <v>960.0</v>
      </c>
      <c r="D55" s="108" t="s">
        <v>54</v>
      </c>
      <c r="E55" s="33"/>
      <c r="F55" s="33">
        <v>1.0</v>
      </c>
      <c r="G55" s="35" t="s">
        <v>32</v>
      </c>
      <c r="H55" s="35" t="s">
        <v>33</v>
      </c>
      <c r="I55" s="102">
        <v>35.5</v>
      </c>
      <c r="J55" s="33">
        <v>45.0</v>
      </c>
      <c r="K55" s="73">
        <v>23.0</v>
      </c>
      <c r="L55" s="132">
        <f t="shared" si="15"/>
        <v>22</v>
      </c>
      <c r="M55" s="37">
        <f t="shared" si="16"/>
        <v>0.5111111111</v>
      </c>
      <c r="N55" s="38">
        <f>(MAX($M$55:$M$60))</f>
        <v>0.5111111111</v>
      </c>
      <c r="O55" s="38">
        <f>AVERAGE(M55:M60)</f>
        <v>0.4666666667</v>
      </c>
      <c r="P55" s="103">
        <f>IF(M55&gt;0.35, J55*M55/0.35, "No llego al 35%")</f>
        <v>65.71428571</v>
      </c>
      <c r="Q55" s="104">
        <f>_xlfn.PERCENTILE.INC(K55:K60,0.95)</f>
        <v>22.7</v>
      </c>
      <c r="R55" s="75">
        <f>AVERAGE(I55:I57)</f>
        <v>36.5</v>
      </c>
      <c r="S55" s="76"/>
      <c r="T55" s="43">
        <f> - $R$55 + R55</f>
        <v>0</v>
      </c>
      <c r="U55" s="32">
        <f> - $C$55 + C55</f>
        <v>0</v>
      </c>
      <c r="V55" s="44">
        <f>(T55)/$R$55</f>
        <v>0</v>
      </c>
      <c r="W55" s="45">
        <f>U55/$C$55</f>
        <v>0</v>
      </c>
      <c r="X55" s="46">
        <v>8.72</v>
      </c>
      <c r="Y55" s="47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>
      <c r="A56" s="3"/>
      <c r="B56" s="54"/>
      <c r="C56" s="55"/>
      <c r="D56" s="56" t="s">
        <v>55</v>
      </c>
      <c r="E56" s="57"/>
      <c r="F56" s="57">
        <v>2.0</v>
      </c>
      <c r="G56" s="35" t="s">
        <v>32</v>
      </c>
      <c r="H56" s="35" t="s">
        <v>33</v>
      </c>
      <c r="I56" s="56">
        <v>36.0</v>
      </c>
      <c r="J56" s="57">
        <v>45.0</v>
      </c>
      <c r="K56" s="57">
        <v>21.0</v>
      </c>
      <c r="L56" s="133">
        <f t="shared" si="15"/>
        <v>24</v>
      </c>
      <c r="M56" s="37">
        <f t="shared" si="16"/>
        <v>0.4666666667</v>
      </c>
      <c r="N56" s="58"/>
      <c r="O56" s="58"/>
      <c r="Q56" s="59"/>
      <c r="R56" s="55"/>
      <c r="S56" s="76"/>
      <c r="T56" s="60"/>
      <c r="U56" s="55"/>
      <c r="V56" s="60"/>
      <c r="W56" s="55"/>
      <c r="X56" s="55"/>
      <c r="Y56" s="47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>
      <c r="A57" s="3"/>
      <c r="B57" s="54"/>
      <c r="C57" s="55"/>
      <c r="D57" s="56" t="s">
        <v>56</v>
      </c>
      <c r="E57" s="57"/>
      <c r="F57" s="57">
        <v>3.0</v>
      </c>
      <c r="G57" s="62" t="s">
        <v>32</v>
      </c>
      <c r="H57" s="62" t="s">
        <v>33</v>
      </c>
      <c r="I57" s="56">
        <v>38.0</v>
      </c>
      <c r="J57" s="57">
        <v>45.0</v>
      </c>
      <c r="K57" s="57">
        <v>21.0</v>
      </c>
      <c r="L57" s="133">
        <f t="shared" si="15"/>
        <v>24</v>
      </c>
      <c r="M57" s="37">
        <f t="shared" si="16"/>
        <v>0.4666666667</v>
      </c>
      <c r="N57" s="58"/>
      <c r="O57" s="58"/>
      <c r="Q57" s="59"/>
      <c r="R57" s="55"/>
      <c r="S57" s="76"/>
      <c r="T57" s="60"/>
      <c r="U57" s="55"/>
      <c r="V57" s="60"/>
      <c r="W57" s="55"/>
      <c r="X57" s="55"/>
      <c r="Y57" s="47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>
      <c r="A58" s="3"/>
      <c r="B58" s="54"/>
      <c r="C58" s="55"/>
      <c r="D58" s="57"/>
      <c r="E58" s="57"/>
      <c r="F58" s="57"/>
      <c r="G58" s="62"/>
      <c r="H58" s="62"/>
      <c r="I58" s="56"/>
      <c r="J58" s="57"/>
      <c r="K58" s="57"/>
      <c r="L58" s="133"/>
      <c r="M58" s="37"/>
      <c r="N58" s="58"/>
      <c r="O58" s="58"/>
      <c r="Q58" s="59"/>
      <c r="R58" s="55"/>
      <c r="S58" s="76"/>
      <c r="T58" s="60"/>
      <c r="U58" s="55"/>
      <c r="V58" s="60"/>
      <c r="W58" s="55"/>
      <c r="X58" s="55"/>
      <c r="Y58" s="47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>
      <c r="A59" s="3"/>
      <c r="B59" s="54"/>
      <c r="C59" s="55"/>
      <c r="D59" s="57"/>
      <c r="E59" s="57"/>
      <c r="F59" s="57"/>
      <c r="G59" s="62"/>
      <c r="H59" s="62"/>
      <c r="I59" s="56"/>
      <c r="J59" s="57"/>
      <c r="K59" s="57"/>
      <c r="L59" s="133"/>
      <c r="M59" s="37"/>
      <c r="N59" s="58"/>
      <c r="O59" s="58"/>
      <c r="Q59" s="59"/>
      <c r="R59" s="55"/>
      <c r="S59" s="76"/>
      <c r="T59" s="60"/>
      <c r="U59" s="55"/>
      <c r="V59" s="60"/>
      <c r="W59" s="55"/>
      <c r="X59" s="55"/>
      <c r="Y59" s="47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>
      <c r="A60" s="3"/>
      <c r="B60" s="63"/>
      <c r="C60" s="64"/>
      <c r="D60" s="109"/>
      <c r="E60" s="65"/>
      <c r="F60" s="65">
        <v>6.0</v>
      </c>
      <c r="G60" s="66" t="s">
        <v>32</v>
      </c>
      <c r="H60" s="66" t="s">
        <v>33</v>
      </c>
      <c r="I60" s="106">
        <v>39.0</v>
      </c>
      <c r="J60" s="65">
        <v>45.0</v>
      </c>
      <c r="K60" s="65">
        <v>19.0</v>
      </c>
      <c r="L60" s="134">
        <f>J60-K60</f>
        <v>26</v>
      </c>
      <c r="M60" s="68">
        <f>K60/J60</f>
        <v>0.4222222222</v>
      </c>
      <c r="N60" s="69"/>
      <c r="O60" s="69"/>
      <c r="P60" s="70"/>
      <c r="Q60" s="71"/>
      <c r="R60" s="64"/>
      <c r="S60" s="76"/>
      <c r="T60" s="20"/>
      <c r="U60" s="64"/>
      <c r="V60" s="20"/>
      <c r="W60" s="64"/>
      <c r="X60" s="64"/>
      <c r="Y60" s="47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17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>
      <c r="A63" s="3"/>
      <c r="B63" s="135" t="s">
        <v>57</v>
      </c>
      <c r="C63" s="136"/>
      <c r="D63" s="137"/>
      <c r="E63" s="137"/>
      <c r="F63" s="137"/>
      <c r="G63" s="137"/>
      <c r="H63" s="137"/>
      <c r="I63" s="137"/>
      <c r="J63" s="137"/>
      <c r="K63" s="3"/>
      <c r="L63" s="3"/>
      <c r="M63" s="3"/>
      <c r="N63" s="3"/>
      <c r="O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>
      <c r="A64" s="3"/>
      <c r="B64" s="137"/>
      <c r="C64" s="137"/>
      <c r="D64" s="137"/>
      <c r="E64" s="137"/>
      <c r="F64" s="137"/>
      <c r="G64" s="137"/>
      <c r="H64" s="137"/>
      <c r="I64" s="137"/>
      <c r="J64" s="137"/>
      <c r="K64" s="3"/>
      <c r="L64" s="3"/>
      <c r="M64" s="3"/>
      <c r="N64" s="3"/>
      <c r="O64" s="3"/>
      <c r="P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>
      <c r="A65" s="3"/>
      <c r="B65" s="138" t="s">
        <v>58</v>
      </c>
      <c r="C65" s="139" t="s">
        <v>59</v>
      </c>
      <c r="D65" s="139" t="s">
        <v>60</v>
      </c>
      <c r="E65" s="139" t="s">
        <v>61</v>
      </c>
      <c r="F65" s="139" t="s">
        <v>62</v>
      </c>
      <c r="G65" s="139" t="s">
        <v>63</v>
      </c>
      <c r="H65" s="140" t="s">
        <v>64</v>
      </c>
      <c r="I65" s="141" t="s">
        <v>65</v>
      </c>
      <c r="J65" s="142" t="s">
        <v>66</v>
      </c>
      <c r="K65" s="3"/>
      <c r="L65" s="3"/>
      <c r="M65" s="3"/>
      <c r="N65" s="3"/>
      <c r="O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>
      <c r="A66" s="3"/>
      <c r="B66" s="143" t="s">
        <v>67</v>
      </c>
      <c r="C66" s="144">
        <v>6.2</v>
      </c>
      <c r="D66" s="144">
        <v>6.2</v>
      </c>
      <c r="E66" s="145">
        <v>0.214</v>
      </c>
      <c r="F66" s="144">
        <v>0.93</v>
      </c>
      <c r="G66" s="146">
        <v>8.23</v>
      </c>
      <c r="H66" s="144">
        <v>0.11</v>
      </c>
      <c r="I66" s="147">
        <v>38.4</v>
      </c>
      <c r="J66" s="148">
        <v>0.242</v>
      </c>
      <c r="K66" s="3"/>
      <c r="L66" s="3"/>
      <c r="M66" s="3"/>
      <c r="N66" s="3"/>
      <c r="O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>
      <c r="A67" s="3"/>
      <c r="B67" s="149" t="s">
        <v>52</v>
      </c>
      <c r="C67" s="150">
        <v>6.2</v>
      </c>
      <c r="D67" s="150">
        <v>6.2</v>
      </c>
      <c r="E67" s="151">
        <v>0.301</v>
      </c>
      <c r="F67" s="150">
        <v>3.43</v>
      </c>
      <c r="G67" s="152">
        <v>11.57</v>
      </c>
      <c r="H67" s="150">
        <v>0.3</v>
      </c>
      <c r="I67" s="153">
        <v>38.4</v>
      </c>
      <c r="J67" s="154">
        <v>0.892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>
      <c r="A68" s="3"/>
      <c r="B68" s="155" t="s">
        <v>68</v>
      </c>
      <c r="C68" s="156">
        <v>6.2</v>
      </c>
      <c r="D68" s="156">
        <v>6.2</v>
      </c>
      <c r="E68" s="157">
        <v>0.3</v>
      </c>
      <c r="F68" s="156">
        <v>0.91</v>
      </c>
      <c r="G68" s="158">
        <v>11.53</v>
      </c>
      <c r="H68" s="156">
        <v>0.08</v>
      </c>
      <c r="I68" s="159">
        <v>38.4</v>
      </c>
      <c r="J68" s="160">
        <v>0.237</v>
      </c>
      <c r="K68" s="3"/>
      <c r="L68" s="3"/>
      <c r="M68" s="3"/>
      <c r="N68" s="3"/>
      <c r="O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>
      <c r="A69" s="3"/>
      <c r="B69" s="155" t="s">
        <v>69</v>
      </c>
      <c r="C69" s="156">
        <v>6.3</v>
      </c>
      <c r="D69" s="161">
        <v>6.3</v>
      </c>
      <c r="E69" s="162">
        <v>0.426</v>
      </c>
      <c r="F69" s="161">
        <v>3.17</v>
      </c>
      <c r="G69" s="158">
        <v>16.91</v>
      </c>
      <c r="H69" s="156">
        <v>0.19</v>
      </c>
      <c r="I69" s="159">
        <v>39.7</v>
      </c>
      <c r="J69" s="160">
        <v>0.799</v>
      </c>
      <c r="K69" s="8" t="s">
        <v>70</v>
      </c>
      <c r="L69" s="3"/>
      <c r="M69" s="3"/>
      <c r="N69" s="3"/>
      <c r="O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>
      <c r="A70" s="3"/>
      <c r="B70" s="155" t="s">
        <v>71</v>
      </c>
      <c r="C70" s="156">
        <v>6.2</v>
      </c>
      <c r="D70" s="161">
        <v>6.2</v>
      </c>
      <c r="E70" s="162">
        <v>3.44</v>
      </c>
      <c r="F70" s="161">
        <v>1.71</v>
      </c>
      <c r="G70" s="158">
        <v>132.23</v>
      </c>
      <c r="H70" s="156">
        <v>0.01</v>
      </c>
      <c r="I70" s="159">
        <v>38.4</v>
      </c>
      <c r="J70" s="160">
        <v>0.445</v>
      </c>
      <c r="K70" s="3"/>
      <c r="L70" s="3"/>
      <c r="M70" s="3"/>
      <c r="N70" s="3"/>
      <c r="O70" s="3"/>
      <c r="P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>
      <c r="A71" s="3"/>
      <c r="B71" s="155" t="s">
        <v>72</v>
      </c>
      <c r="C71" s="156">
        <v>5.8</v>
      </c>
      <c r="D71" s="156">
        <v>6.2</v>
      </c>
      <c r="E71" s="157">
        <v>3.51</v>
      </c>
      <c r="F71" s="156">
        <v>3.76</v>
      </c>
      <c r="G71" s="158">
        <v>126.22</v>
      </c>
      <c r="H71" s="156">
        <v>0.03</v>
      </c>
      <c r="I71" s="159">
        <v>36.0</v>
      </c>
      <c r="J71" s="160">
        <v>1.046</v>
      </c>
      <c r="K71" s="3"/>
      <c r="L71" s="3"/>
      <c r="M71" s="3"/>
      <c r="N71" s="3"/>
      <c r="O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>
      <c r="A72" s="3"/>
      <c r="B72" s="155" t="s">
        <v>73</v>
      </c>
      <c r="C72" s="156">
        <v>6.2</v>
      </c>
      <c r="D72" s="156">
        <v>6.2</v>
      </c>
      <c r="E72" s="156">
        <v>0.209</v>
      </c>
      <c r="F72" s="156">
        <v>1.94</v>
      </c>
      <c r="G72" s="156">
        <v>8.03</v>
      </c>
      <c r="H72" s="156">
        <v>0.24</v>
      </c>
      <c r="I72" s="159">
        <v>38.4</v>
      </c>
      <c r="J72" s="160">
        <v>0.505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>
      <c r="A73" s="3"/>
      <c r="B73" s="163" t="s">
        <v>74</v>
      </c>
      <c r="C73" s="164">
        <v>6.2</v>
      </c>
      <c r="D73" s="164">
        <v>6.2</v>
      </c>
      <c r="E73" s="164">
        <v>0.49</v>
      </c>
      <c r="F73" s="164">
        <v>1.73</v>
      </c>
      <c r="G73" s="165">
        <v>18.84</v>
      </c>
      <c r="H73" s="165">
        <v>0.09</v>
      </c>
      <c r="I73" s="166">
        <v>38.4</v>
      </c>
      <c r="J73" s="167">
        <v>0.45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</row>
  </sheetData>
  <mergeCells count="187">
    <mergeCell ref="AP10:AP12"/>
    <mergeCell ref="AQ10:AQ12"/>
    <mergeCell ref="AO13:AO15"/>
    <mergeCell ref="AP13:AP15"/>
    <mergeCell ref="AQ13:AQ15"/>
    <mergeCell ref="AR13:AR18"/>
    <mergeCell ref="AQ16:AQ18"/>
    <mergeCell ref="AO16:AO18"/>
    <mergeCell ref="AP16:AP18"/>
    <mergeCell ref="AO19:AO24"/>
    <mergeCell ref="AP19:AP24"/>
    <mergeCell ref="AQ19:AQ24"/>
    <mergeCell ref="AR19:AR24"/>
    <mergeCell ref="AS19:AS24"/>
    <mergeCell ref="AP31:AP33"/>
    <mergeCell ref="AQ31:AQ33"/>
    <mergeCell ref="AR31:AR36"/>
    <mergeCell ref="AO34:AO36"/>
    <mergeCell ref="AP34:AP36"/>
    <mergeCell ref="AQ34:AQ36"/>
    <mergeCell ref="AS34:AS36"/>
    <mergeCell ref="AO25:AO30"/>
    <mergeCell ref="AP25:AP30"/>
    <mergeCell ref="AQ25:AQ30"/>
    <mergeCell ref="AR25:AR30"/>
    <mergeCell ref="AS25:AS27"/>
    <mergeCell ref="AS28:AS30"/>
    <mergeCell ref="AO31:AO33"/>
    <mergeCell ref="AS31:AS33"/>
    <mergeCell ref="B1:R1"/>
    <mergeCell ref="B2:C2"/>
    <mergeCell ref="D2:F2"/>
    <mergeCell ref="K2:R2"/>
    <mergeCell ref="D3:R3"/>
    <mergeCell ref="AA3:AB3"/>
    <mergeCell ref="AC3:AO3"/>
    <mergeCell ref="W5:W6"/>
    <mergeCell ref="X5:X6"/>
    <mergeCell ref="AA5:AA6"/>
    <mergeCell ref="AB5:AB6"/>
    <mergeCell ref="AC5:AT5"/>
    <mergeCell ref="B3:C3"/>
    <mergeCell ref="B5:B6"/>
    <mergeCell ref="C5:C6"/>
    <mergeCell ref="D5:R5"/>
    <mergeCell ref="T5:T6"/>
    <mergeCell ref="U5:U6"/>
    <mergeCell ref="V5:V6"/>
    <mergeCell ref="T7:T12"/>
    <mergeCell ref="U7:U12"/>
    <mergeCell ref="V7:V12"/>
    <mergeCell ref="W7:W12"/>
    <mergeCell ref="X7:X12"/>
    <mergeCell ref="AA7:AA12"/>
    <mergeCell ref="AB7:AB12"/>
    <mergeCell ref="AC7:AC12"/>
    <mergeCell ref="AO7:AO9"/>
    <mergeCell ref="AP7:AP9"/>
    <mergeCell ref="AQ7:AQ9"/>
    <mergeCell ref="AR7:AR12"/>
    <mergeCell ref="AS7:AS9"/>
    <mergeCell ref="AO10:AO12"/>
    <mergeCell ref="AS10:AS12"/>
    <mergeCell ref="T13:T18"/>
    <mergeCell ref="U13:U18"/>
    <mergeCell ref="V13:V18"/>
    <mergeCell ref="W13:W18"/>
    <mergeCell ref="X13:X18"/>
    <mergeCell ref="AA13:AA18"/>
    <mergeCell ref="AB13:AB18"/>
    <mergeCell ref="AC13:AC18"/>
    <mergeCell ref="AS13:AS15"/>
    <mergeCell ref="AS16:AS18"/>
    <mergeCell ref="AC31:AC33"/>
    <mergeCell ref="AC34:AC36"/>
    <mergeCell ref="T31:T36"/>
    <mergeCell ref="U31:U36"/>
    <mergeCell ref="V31:V36"/>
    <mergeCell ref="W31:W36"/>
    <mergeCell ref="X31:X36"/>
    <mergeCell ref="AA31:AA36"/>
    <mergeCell ref="AB31:AB36"/>
    <mergeCell ref="B7:B12"/>
    <mergeCell ref="C7:C12"/>
    <mergeCell ref="N7:N12"/>
    <mergeCell ref="O7:O12"/>
    <mergeCell ref="P7:P12"/>
    <mergeCell ref="Q7:Q12"/>
    <mergeCell ref="R7:R12"/>
    <mergeCell ref="B13:B18"/>
    <mergeCell ref="C13:C18"/>
    <mergeCell ref="N13:N18"/>
    <mergeCell ref="O13:O18"/>
    <mergeCell ref="P13:P18"/>
    <mergeCell ref="Q13:Q18"/>
    <mergeCell ref="R13:R18"/>
    <mergeCell ref="T19:T24"/>
    <mergeCell ref="U19:U24"/>
    <mergeCell ref="V19:V24"/>
    <mergeCell ref="W19:W24"/>
    <mergeCell ref="X19:X24"/>
    <mergeCell ref="AA19:AA24"/>
    <mergeCell ref="AB19:AB24"/>
    <mergeCell ref="AC19:AC24"/>
    <mergeCell ref="B19:B24"/>
    <mergeCell ref="C19:C24"/>
    <mergeCell ref="N19:N24"/>
    <mergeCell ref="O19:O24"/>
    <mergeCell ref="P19:P24"/>
    <mergeCell ref="Q19:Q24"/>
    <mergeCell ref="R19:R24"/>
    <mergeCell ref="T25:T30"/>
    <mergeCell ref="U25:U30"/>
    <mergeCell ref="V25:V30"/>
    <mergeCell ref="W25:W30"/>
    <mergeCell ref="X25:X30"/>
    <mergeCell ref="AA25:AA30"/>
    <mergeCell ref="AB25:AB30"/>
    <mergeCell ref="AC25:AC30"/>
    <mergeCell ref="B25:B30"/>
    <mergeCell ref="C25:C30"/>
    <mergeCell ref="N25:N30"/>
    <mergeCell ref="O25:O30"/>
    <mergeCell ref="P25:P30"/>
    <mergeCell ref="Q25:Q30"/>
    <mergeCell ref="R25:R30"/>
    <mergeCell ref="T37:T42"/>
    <mergeCell ref="U37:U42"/>
    <mergeCell ref="V37:V42"/>
    <mergeCell ref="W37:W42"/>
    <mergeCell ref="X37:X42"/>
    <mergeCell ref="B49:B54"/>
    <mergeCell ref="C49:C54"/>
    <mergeCell ref="N49:N54"/>
    <mergeCell ref="O49:O54"/>
    <mergeCell ref="P49:P54"/>
    <mergeCell ref="Q49:Q54"/>
    <mergeCell ref="R49:R54"/>
    <mergeCell ref="B55:B60"/>
    <mergeCell ref="C55:C60"/>
    <mergeCell ref="N55:N60"/>
    <mergeCell ref="O55:O60"/>
    <mergeCell ref="P55:P60"/>
    <mergeCell ref="R55:R60"/>
    <mergeCell ref="P61:P63"/>
    <mergeCell ref="B31:B36"/>
    <mergeCell ref="C31:C36"/>
    <mergeCell ref="N31:N36"/>
    <mergeCell ref="O31:O36"/>
    <mergeCell ref="P31:P36"/>
    <mergeCell ref="Q31:Q36"/>
    <mergeCell ref="R31:R36"/>
    <mergeCell ref="B37:B42"/>
    <mergeCell ref="C37:C42"/>
    <mergeCell ref="N37:N42"/>
    <mergeCell ref="O37:O42"/>
    <mergeCell ref="P37:P42"/>
    <mergeCell ref="Q37:Q42"/>
    <mergeCell ref="R37:R42"/>
    <mergeCell ref="T43:T48"/>
    <mergeCell ref="U43:U48"/>
    <mergeCell ref="V43:V48"/>
    <mergeCell ref="W43:W48"/>
    <mergeCell ref="X43:X48"/>
    <mergeCell ref="B43:B48"/>
    <mergeCell ref="C43:C48"/>
    <mergeCell ref="N43:N48"/>
    <mergeCell ref="O43:O48"/>
    <mergeCell ref="P43:P48"/>
    <mergeCell ref="Q43:Q48"/>
    <mergeCell ref="R43:R48"/>
    <mergeCell ref="T49:T54"/>
    <mergeCell ref="U49:U54"/>
    <mergeCell ref="V49:V54"/>
    <mergeCell ref="W49:W54"/>
    <mergeCell ref="X49:X54"/>
    <mergeCell ref="T55:T60"/>
    <mergeCell ref="U55:U60"/>
    <mergeCell ref="V55:V60"/>
    <mergeCell ref="W55:W60"/>
    <mergeCell ref="X55:X60"/>
    <mergeCell ref="Q55:Q60"/>
    <mergeCell ref="Q61:Q66"/>
    <mergeCell ref="P64:P66"/>
    <mergeCell ref="P67:P69"/>
    <mergeCell ref="Q67:Q71"/>
    <mergeCell ref="P70:P71"/>
  </mergeCells>
  <printOptions/>
  <pageMargins bottom="0.75" footer="0.0" header="0.0" left="0.7" right="0.7" top="0.75"/>
  <pageSetup fitToWidth="0" paperSize="9" orientation="portrait"/>
  <drawing r:id="rId1"/>
</worksheet>
</file>