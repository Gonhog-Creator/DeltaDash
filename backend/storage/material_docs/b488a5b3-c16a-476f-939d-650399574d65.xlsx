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LLE S" sheetId="1" r:id="rId5"/>
    <sheet state="visible" name="TALLE XXL" sheetId="2" r:id="rId6"/>
  </sheets>
  <definedNames/>
  <calcPr/>
</workbook>
</file>

<file path=xl/sharedStrings.xml><?xml version="1.0" encoding="utf-8"?>
<sst xmlns="http://schemas.openxmlformats.org/spreadsheetml/2006/main" count="337" uniqueCount="36">
  <si>
    <t>Ensayo Laboratorio FIE - CERTIFICACION MDS LIGHT II</t>
  </si>
  <si>
    <t>Fecha</t>
  </si>
  <si>
    <t>Temperatura</t>
  </si>
  <si>
    <t>Humedad</t>
  </si>
  <si>
    <t>Notas:</t>
  </si>
  <si>
    <t>ID</t>
  </si>
  <si>
    <t>Disparos</t>
  </si>
  <si>
    <t>Nivel</t>
  </si>
  <si>
    <t>Calibre</t>
  </si>
  <si>
    <t>Trauma (mm)</t>
  </si>
  <si>
    <t>Vo (m/s)</t>
  </si>
  <si>
    <t>Capas penetradas</t>
  </si>
  <si>
    <t>Trauma Promedio (Tiro 1-2-3)</t>
  </si>
  <si>
    <t>SERIE N°1 TALLE S seco</t>
  </si>
  <si>
    <t>FRENTE</t>
  </si>
  <si>
    <t>RB2</t>
  </si>
  <si>
    <t>.357 MAG</t>
  </si>
  <si>
    <t>ESPALDA</t>
  </si>
  <si>
    <t>SERIE N°2 TALLE S humedo</t>
  </si>
  <si>
    <t>SERIE N°3 TALLE S Lim Balistico</t>
  </si>
  <si>
    <t>NO</t>
  </si>
  <si>
    <t>ESPALDA 45°</t>
  </si>
  <si>
    <t>SERIE N°4 TALLE S Seco</t>
  </si>
  <si>
    <t>9 mm</t>
  </si>
  <si>
    <t>SERIE N°5 TALLE S Humedo</t>
  </si>
  <si>
    <t xml:space="preserve">SERIE N°6 TALLE S Lim Balístico </t>
  </si>
  <si>
    <t>SERIE N°7 TALLE S (Chaleco Testigo)</t>
  </si>
  <si>
    <t>Masilla 1</t>
  </si>
  <si>
    <t>Masilla 2</t>
  </si>
  <si>
    <t>Ensayo Laboratorio FIE- CERTIFICACION MDS LIGHT II</t>
  </si>
  <si>
    <t>SERIE N°8 TALLE XXL Seco</t>
  </si>
  <si>
    <t>SERIE N°9 TALLE XXL Humedo</t>
  </si>
  <si>
    <t>SERIE N°10 TALLE XXL Seco</t>
  </si>
  <si>
    <t>SERIE N°11 TALLE XXL Humedo</t>
  </si>
  <si>
    <t>SERIE N°12 TALLE XXL</t>
  </si>
  <si>
    <t>SERIE N°13 TALLE XXL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</si>
</sst>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0.0"/>
  </numFmts>
  <fonts count="5">
    <font>
      <sz val="10.0"/>
      <color rgb="FF000000"/>
      <name val="Arial"/>
      <scheme val="minor"/>
    </font>
    <font>
      <b/>
      <i/>
      <sz val="20.0"/>
      <color theme="1"/>
      <name val="Arial"/>
    </font>
    <font/>
    <font>
      <color theme="1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medium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</border>
    <border>
      <right style="medium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ck">
        <color rgb="FF000000"/>
      </right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medium">
        <color rgb="FF000000"/>
      </bottom>
    </border>
    <border>
      <right style="medium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medium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medium">
        <color rgb="FF000000"/>
      </top>
    </border>
    <border>
      <left style="thick">
        <color rgb="FF000000"/>
      </left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right style="medium">
        <color rgb="FF000000"/>
      </right>
      <bottom style="medium">
        <color rgb="FF000000"/>
      </bottom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1" fillId="0" fontId="1" numFmtId="0" xfId="0" applyAlignment="1" applyBorder="1" applyFont="1">
      <alignment horizontal="center" readingOrder="0" vertical="bottom"/>
    </xf>
    <xf borderId="1" fillId="0" fontId="2" numFmtId="0" xfId="0" applyBorder="1" applyFont="1"/>
    <xf borderId="0" fillId="0" fontId="3" numFmtId="0" xfId="0" applyAlignment="1" applyFont="1">
      <alignment vertical="bottom"/>
    </xf>
    <xf borderId="2" fillId="0" fontId="3" numFmtId="0" xfId="0" applyAlignment="1" applyBorder="1" applyFont="1">
      <alignment vertical="bottom"/>
    </xf>
    <xf borderId="1" fillId="0" fontId="3" numFmtId="164" xfId="0" applyAlignment="1" applyBorder="1" applyFont="1" applyNumberFormat="1">
      <alignment horizontal="left" readingOrder="0" vertical="bottom"/>
    </xf>
    <xf borderId="3" fillId="0" fontId="2" numFmtId="0" xfId="0" applyBorder="1" applyFont="1"/>
    <xf borderId="3" fillId="0" fontId="3" numFmtId="0" xfId="0" applyAlignment="1" applyBorder="1" applyFont="1">
      <alignment vertical="bottom"/>
    </xf>
    <xf borderId="3" fillId="0" fontId="3" numFmtId="0" xfId="0" applyAlignment="1" applyBorder="1" applyFont="1">
      <alignment readingOrder="0" vertical="bottom"/>
    </xf>
    <xf borderId="3" fillId="0" fontId="3" numFmtId="9" xfId="0" applyAlignment="1" applyBorder="1" applyFont="1" applyNumberFormat="1">
      <alignment readingOrder="0" vertical="bottom"/>
    </xf>
    <xf borderId="1" fillId="0" fontId="3" numFmtId="0" xfId="0" applyAlignment="1" applyBorder="1" applyFont="1">
      <alignment readingOrder="0" vertical="bottom"/>
    </xf>
    <xf borderId="0" fillId="2" fontId="3" numFmtId="1" xfId="0" applyFill="1" applyFont="1" applyNumberFormat="1"/>
    <xf borderId="4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horizontal="center" readingOrder="0" shrinkToFit="0" vertical="center" wrapText="1"/>
    </xf>
    <xf borderId="10" fillId="0" fontId="3" numFmtId="0" xfId="0" applyAlignment="1" applyBorder="1" applyFont="1">
      <alignment horizontal="center" readingOrder="0" shrinkToFit="0" vertical="center" wrapText="1"/>
    </xf>
    <xf borderId="11" fillId="2" fontId="3" numFmtId="0" xfId="0" applyAlignment="1" applyBorder="1" applyFont="1">
      <alignment horizontal="center" shrinkToFit="0" wrapText="1"/>
    </xf>
    <xf borderId="11" fillId="2" fontId="3" numFmtId="0" xfId="0" applyAlignment="1" applyBorder="1" applyFont="1">
      <alignment horizontal="center" readingOrder="0" shrinkToFit="0" wrapText="1"/>
    </xf>
    <xf borderId="11" fillId="2" fontId="4" numFmtId="0" xfId="0" applyAlignment="1" applyBorder="1" applyFont="1">
      <alignment horizontal="center" readingOrder="0"/>
    </xf>
    <xf borderId="12" fillId="2" fontId="3" numFmtId="0" xfId="0" applyAlignment="1" applyBorder="1" applyFont="1">
      <alignment horizontal="center" readingOrder="0"/>
    </xf>
    <xf borderId="11" fillId="2" fontId="3" numFmtId="0" xfId="0" applyAlignment="1" applyBorder="1" applyFont="1">
      <alignment horizontal="center"/>
    </xf>
    <xf borderId="13" fillId="2" fontId="3" numFmtId="165" xfId="0" applyAlignment="1" applyBorder="1" applyFont="1" applyNumberFormat="1">
      <alignment horizontal="center" shrinkToFit="0" vertical="center" wrapText="1"/>
    </xf>
    <xf borderId="0" fillId="2" fontId="3" numFmtId="165" xfId="0" applyFont="1" applyNumberFormat="1"/>
    <xf borderId="9" fillId="0" fontId="2" numFmtId="0" xfId="0" applyBorder="1" applyFont="1"/>
    <xf borderId="10" fillId="0" fontId="2" numFmtId="0" xfId="0" applyBorder="1" applyFont="1"/>
    <xf borderId="11" fillId="2" fontId="3" numFmtId="4" xfId="0" applyAlignment="1" applyBorder="1" applyFont="1" applyNumberFormat="1">
      <alignment horizontal="center" readingOrder="0"/>
    </xf>
    <xf borderId="14" fillId="2" fontId="3" numFmtId="0" xfId="0" applyAlignment="1" applyBorder="1" applyFont="1">
      <alignment horizontal="center"/>
    </xf>
    <xf borderId="13" fillId="0" fontId="2" numFmtId="0" xfId="0" applyBorder="1" applyFont="1"/>
    <xf borderId="0" fillId="2" fontId="4" numFmtId="165" xfId="0" applyFont="1" applyNumberFormat="1"/>
    <xf borderId="15" fillId="0" fontId="2" numFmtId="0" xfId="0" applyBorder="1" applyFont="1"/>
    <xf borderId="16" fillId="2" fontId="3" numFmtId="0" xfId="0" applyAlignment="1" applyBorder="1" applyFont="1">
      <alignment horizontal="center" shrinkToFit="0" wrapText="1"/>
    </xf>
    <xf borderId="16" fillId="2" fontId="3" numFmtId="4" xfId="0" applyAlignment="1" applyBorder="1" applyFont="1" applyNumberFormat="1">
      <alignment horizontal="center" readingOrder="0"/>
    </xf>
    <xf borderId="17" fillId="2" fontId="3" numFmtId="0" xfId="0" applyAlignment="1" applyBorder="1" applyFont="1">
      <alignment horizontal="center" readingOrder="0"/>
    </xf>
    <xf borderId="18" fillId="2" fontId="3" numFmtId="0" xfId="0" applyAlignment="1" applyBorder="1" applyFont="1">
      <alignment horizontal="center"/>
    </xf>
    <xf borderId="17" fillId="0" fontId="2" numFmtId="0" xfId="0" applyBorder="1" applyFont="1"/>
    <xf borderId="19" fillId="0" fontId="3" numFmtId="0" xfId="0" applyAlignment="1" applyBorder="1" applyFont="1">
      <alignment horizontal="center" readingOrder="0" shrinkToFit="0" vertical="center" wrapText="1"/>
    </xf>
    <xf borderId="0" fillId="0" fontId="3" numFmtId="1" xfId="0" applyAlignment="1" applyFont="1" applyNumberFormat="1">
      <alignment vertical="bottom"/>
    </xf>
    <xf borderId="11" fillId="2" fontId="4" numFmtId="4" xfId="0" applyAlignment="1" applyBorder="1" applyFont="1" applyNumberFormat="1">
      <alignment horizontal="center" readingOrder="0"/>
    </xf>
    <xf borderId="20" fillId="0" fontId="2" numFmtId="0" xfId="0" applyBorder="1" applyFont="1"/>
    <xf borderId="21" fillId="0" fontId="4" numFmtId="0" xfId="0" applyAlignment="1" applyBorder="1" applyFont="1">
      <alignment horizontal="center" readingOrder="0" shrinkToFit="0" vertical="center" wrapText="1"/>
    </xf>
    <xf borderId="0" fillId="2" fontId="3" numFmtId="165" xfId="0" applyAlignment="1" applyFont="1" applyNumberFormat="1">
      <alignment readingOrder="0"/>
    </xf>
    <xf borderId="0" fillId="0" fontId="3" numFmtId="20" xfId="0" applyAlignment="1" applyFont="1" applyNumberFormat="1">
      <alignment vertical="bottom"/>
    </xf>
    <xf borderId="11" fillId="2" fontId="3" numFmtId="4" xfId="0" applyAlignment="1" applyBorder="1" applyFont="1" applyNumberFormat="1">
      <alignment horizontal="center"/>
    </xf>
    <xf borderId="12" fillId="2" fontId="3" numFmtId="0" xfId="0" applyAlignment="1" applyBorder="1" applyFont="1">
      <alignment horizontal="center"/>
    </xf>
    <xf borderId="16" fillId="2" fontId="3" numFmtId="0" xfId="0" applyAlignment="1" applyBorder="1" applyFont="1">
      <alignment horizontal="center" readingOrder="0" shrinkToFit="0" wrapText="1"/>
    </xf>
    <xf borderId="16" fillId="2" fontId="3" numFmtId="4" xfId="0" applyAlignment="1" applyBorder="1" applyFont="1" applyNumberFormat="1">
      <alignment horizontal="center"/>
    </xf>
    <xf borderId="17" fillId="2" fontId="3" numFmtId="0" xfId="0" applyAlignment="1" applyBorder="1" applyFont="1">
      <alignment horizontal="center"/>
    </xf>
    <xf borderId="22" fillId="2" fontId="3" numFmtId="4" xfId="0" applyAlignment="1" applyBorder="1" applyFont="1" applyNumberFormat="1">
      <alignment horizontal="center" readingOrder="0"/>
    </xf>
    <xf borderId="0" fillId="0" fontId="3" numFmtId="0" xfId="0" applyAlignment="1" applyFont="1">
      <alignment readingOrder="0" vertical="bottom"/>
    </xf>
    <xf borderId="17" fillId="2" fontId="3" numFmtId="0" xfId="0" applyAlignment="1" applyBorder="1" applyFont="1">
      <alignment horizontal="center" readingOrder="0" vertical="center"/>
    </xf>
    <xf borderId="11" fillId="2" fontId="4" numFmtId="4" xfId="0" applyAlignment="1" applyBorder="1" applyFont="1" applyNumberFormat="1">
      <alignment horizontal="center"/>
    </xf>
    <xf borderId="23" fillId="0" fontId="2" numFmtId="0" xfId="0" applyBorder="1" applyFont="1"/>
    <xf borderId="24" fillId="0" fontId="2" numFmtId="0" xfId="0" applyBorder="1" applyFont="1"/>
    <xf borderId="1" fillId="0" fontId="3" numFmtId="164" xfId="0" applyAlignment="1" applyBorder="1" applyFont="1" applyNumberFormat="1">
      <alignment horizontal="right" readingOrder="0" vertical="bottom"/>
    </xf>
    <xf borderId="25" fillId="0" fontId="3" numFmtId="0" xfId="0" applyAlignment="1" applyBorder="1" applyFont="1">
      <alignment horizontal="center" readingOrder="0" shrinkToFit="0" vertical="center" wrapText="1"/>
    </xf>
    <xf borderId="11" fillId="2" fontId="3" numFmtId="0" xfId="0" applyAlignment="1" applyBorder="1" applyFont="1">
      <alignment horizontal="center" shrinkToFit="0" vertical="center" wrapText="1"/>
    </xf>
    <xf borderId="11" fillId="2" fontId="3" numFmtId="0" xfId="0" applyAlignment="1" applyBorder="1" applyFont="1">
      <alignment horizontal="center" readingOrder="0" shrinkToFit="0" vertical="center" wrapText="1"/>
    </xf>
    <xf borderId="11" fillId="2" fontId="4" numFmtId="4" xfId="0" applyAlignment="1" applyBorder="1" applyFont="1" applyNumberFormat="1">
      <alignment horizontal="center" readingOrder="0" vertical="center"/>
    </xf>
    <xf borderId="12" fillId="2" fontId="3" numFmtId="0" xfId="0" applyAlignment="1" applyBorder="1" applyFont="1">
      <alignment horizontal="center" readingOrder="0" vertical="center"/>
    </xf>
    <xf borderId="11" fillId="2" fontId="3" numFmtId="0" xfId="0" applyAlignment="1" applyBorder="1" applyFont="1">
      <alignment horizontal="center" vertical="center"/>
    </xf>
    <xf borderId="11" fillId="2" fontId="3" numFmtId="4" xfId="0" applyAlignment="1" applyBorder="1" applyFont="1" applyNumberFormat="1">
      <alignment horizontal="center" readingOrder="0" vertical="center"/>
    </xf>
    <xf borderId="14" fillId="2" fontId="3" numFmtId="0" xfId="0" applyAlignment="1" applyBorder="1" applyFont="1">
      <alignment horizontal="center" vertical="center"/>
    </xf>
    <xf borderId="16" fillId="2" fontId="3" numFmtId="0" xfId="0" applyAlignment="1" applyBorder="1" applyFont="1">
      <alignment horizontal="center" shrinkToFit="0" vertical="center" wrapText="1"/>
    </xf>
    <xf borderId="16" fillId="2" fontId="3" numFmtId="4" xfId="0" applyAlignment="1" applyBorder="1" applyFont="1" applyNumberFormat="1">
      <alignment horizontal="center" readingOrder="0" vertical="center"/>
    </xf>
    <xf borderId="18" fillId="2" fontId="3" numFmtId="0" xfId="0" applyAlignment="1" applyBorder="1" applyFont="1">
      <alignment horizontal="center" vertical="center"/>
    </xf>
    <xf borderId="16" fillId="2" fontId="3" numFmtId="0" xfId="0" applyAlignment="1" applyBorder="1" applyFont="1">
      <alignment horizontal="center" readingOrder="0" shrinkToFit="0" vertical="center" wrapText="1"/>
    </xf>
    <xf borderId="11" fillId="2" fontId="4" numFmtId="4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vertical="center"/>
    </xf>
    <xf borderId="11" fillId="2" fontId="3" numFmtId="4" xfId="0" applyAlignment="1" applyBorder="1" applyFont="1" applyNumberFormat="1">
      <alignment horizontal="center" vertical="center"/>
    </xf>
    <xf borderId="16" fillId="2" fontId="3" numFmtId="4" xfId="0" applyAlignment="1" applyBorder="1" applyFont="1" applyNumberFormat="1">
      <alignment horizontal="center" vertical="center"/>
    </xf>
    <xf borderId="17" fillId="2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hidden="1" min="8" max="8" width="12.63"/>
    <col customWidth="1" min="12" max="12" width="14.38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>
      <c r="A2" s="4"/>
      <c r="B2" s="5" t="s">
        <v>1</v>
      </c>
      <c r="C2" s="6">
        <v>46154.0</v>
      </c>
      <c r="D2" s="7"/>
      <c r="E2" s="8" t="s">
        <v>2</v>
      </c>
      <c r="F2" s="9"/>
      <c r="G2" s="8" t="s">
        <v>3</v>
      </c>
      <c r="H2" s="8"/>
      <c r="I2" s="10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>
      <c r="A3" s="4"/>
      <c r="B3" s="5" t="s">
        <v>4</v>
      </c>
      <c r="C3" s="11"/>
      <c r="D3" s="3"/>
      <c r="E3" s="3"/>
      <c r="F3" s="3"/>
      <c r="G3" s="3"/>
      <c r="H3" s="3"/>
      <c r="I3" s="7"/>
      <c r="J3" s="4"/>
      <c r="K3" s="12"/>
      <c r="L3" s="12"/>
      <c r="M3" s="12"/>
      <c r="N3" s="12"/>
      <c r="O3" s="4"/>
      <c r="P3" s="4"/>
      <c r="Q3" s="4"/>
      <c r="R3" s="4"/>
      <c r="S3" s="4"/>
      <c r="T3" s="4"/>
      <c r="U3" s="4"/>
      <c r="V3" s="4"/>
      <c r="W3" s="4"/>
    </row>
    <row r="4">
      <c r="A4" s="4"/>
      <c r="B4" s="13"/>
      <c r="C4" s="13"/>
      <c r="D4" s="13"/>
      <c r="E4" s="13"/>
      <c r="F4" s="13"/>
      <c r="G4" s="4"/>
      <c r="H4" s="4"/>
      <c r="I4" s="4"/>
      <c r="J4" s="4"/>
      <c r="K4" s="12"/>
      <c r="L4" s="12"/>
      <c r="M4" s="12"/>
      <c r="N4" s="12"/>
      <c r="O4" s="4"/>
      <c r="P4" s="4"/>
      <c r="Q4" s="4"/>
      <c r="R4" s="4"/>
      <c r="S4" s="4"/>
      <c r="T4" s="4"/>
      <c r="U4" s="4"/>
      <c r="V4" s="4"/>
      <c r="W4" s="4"/>
    </row>
    <row r="5">
      <c r="A5" s="14" t="s">
        <v>5</v>
      </c>
      <c r="B5" s="14"/>
      <c r="C5" s="15" t="s">
        <v>6</v>
      </c>
      <c r="D5" s="15" t="s">
        <v>7</v>
      </c>
      <c r="E5" s="15" t="s">
        <v>8</v>
      </c>
      <c r="F5" s="15" t="s">
        <v>9</v>
      </c>
      <c r="G5" s="16" t="s">
        <v>10</v>
      </c>
      <c r="H5" s="16" t="s">
        <v>11</v>
      </c>
      <c r="I5" s="17" t="s">
        <v>12</v>
      </c>
      <c r="J5" s="4"/>
      <c r="K5" s="12"/>
      <c r="L5" s="12"/>
      <c r="M5" s="12"/>
      <c r="N5" s="12"/>
      <c r="O5" s="4"/>
      <c r="P5" s="4"/>
      <c r="Q5" s="4"/>
      <c r="R5" s="4"/>
      <c r="S5" s="4"/>
      <c r="T5" s="4"/>
      <c r="U5" s="4"/>
      <c r="V5" s="4"/>
      <c r="W5" s="4"/>
    </row>
    <row r="6">
      <c r="A6" s="18" t="s">
        <v>13</v>
      </c>
      <c r="B6" s="19" t="s">
        <v>14</v>
      </c>
      <c r="C6" s="20">
        <v>1.0</v>
      </c>
      <c r="D6" s="20" t="s">
        <v>15</v>
      </c>
      <c r="E6" s="21" t="s">
        <v>16</v>
      </c>
      <c r="F6" s="22">
        <v>22.3</v>
      </c>
      <c r="G6" s="23">
        <v>427.0</v>
      </c>
      <c r="H6" s="24"/>
      <c r="I6" s="25">
        <f>AVERAGE(F6,F7,F8)</f>
        <v>22</v>
      </c>
      <c r="J6" s="26"/>
      <c r="K6" s="12"/>
      <c r="L6" s="12"/>
      <c r="M6" s="12"/>
      <c r="N6" s="12"/>
      <c r="O6" s="4"/>
      <c r="P6" s="4"/>
      <c r="Q6" s="4"/>
      <c r="R6" s="4"/>
      <c r="S6" s="4"/>
      <c r="T6" s="4"/>
      <c r="U6" s="4"/>
      <c r="V6" s="4"/>
      <c r="W6" s="4"/>
    </row>
    <row r="7">
      <c r="A7" s="27"/>
      <c r="B7" s="28"/>
      <c r="C7" s="20">
        <v>2.0</v>
      </c>
      <c r="D7" s="21" t="s">
        <v>15</v>
      </c>
      <c r="E7" s="21" t="s">
        <v>16</v>
      </c>
      <c r="F7" s="29">
        <v>21.7</v>
      </c>
      <c r="G7" s="23">
        <v>440.0</v>
      </c>
      <c r="H7" s="30"/>
      <c r="I7" s="31"/>
      <c r="J7" s="26"/>
      <c r="K7" s="12"/>
      <c r="L7" s="12"/>
      <c r="M7" s="12"/>
      <c r="N7" s="12"/>
      <c r="O7" s="4"/>
      <c r="P7" s="4"/>
      <c r="Q7" s="4"/>
      <c r="R7" s="4"/>
      <c r="S7" s="4"/>
      <c r="T7" s="4"/>
      <c r="U7" s="4"/>
      <c r="V7" s="4"/>
      <c r="W7" s="4"/>
    </row>
    <row r="8">
      <c r="A8" s="27"/>
      <c r="B8" s="28"/>
      <c r="C8" s="20">
        <v>3.0</v>
      </c>
      <c r="D8" s="21" t="s">
        <v>15</v>
      </c>
      <c r="E8" s="21" t="s">
        <v>16</v>
      </c>
      <c r="F8" s="29">
        <v>22.0</v>
      </c>
      <c r="G8" s="23">
        <v>437.0</v>
      </c>
      <c r="H8" s="30"/>
      <c r="I8" s="31"/>
      <c r="J8" s="26"/>
      <c r="K8" s="12"/>
      <c r="L8" s="12"/>
      <c r="M8" s="12"/>
      <c r="N8" s="12"/>
      <c r="O8" s="4"/>
      <c r="P8" s="4"/>
      <c r="Q8" s="4"/>
      <c r="R8" s="4"/>
      <c r="S8" s="4"/>
      <c r="T8" s="4"/>
      <c r="U8" s="4"/>
      <c r="V8" s="4"/>
      <c r="W8" s="4"/>
    </row>
    <row r="9">
      <c r="A9" s="27"/>
      <c r="B9" s="28"/>
      <c r="C9" s="20">
        <v>4.0</v>
      </c>
      <c r="D9" s="21" t="s">
        <v>15</v>
      </c>
      <c r="E9" s="21" t="s">
        <v>16</v>
      </c>
      <c r="F9" s="29">
        <v>14.6</v>
      </c>
      <c r="G9" s="23">
        <v>429.0</v>
      </c>
      <c r="H9" s="30"/>
      <c r="I9" s="31"/>
      <c r="J9" s="32"/>
      <c r="K9" s="12"/>
      <c r="L9" s="12"/>
      <c r="M9" s="12"/>
      <c r="N9" s="12"/>
      <c r="O9" s="4"/>
      <c r="P9" s="4"/>
      <c r="Q9" s="4"/>
      <c r="R9" s="4"/>
      <c r="S9" s="4"/>
      <c r="T9" s="4"/>
      <c r="U9" s="4"/>
      <c r="V9" s="4"/>
      <c r="W9" s="4"/>
    </row>
    <row r="10">
      <c r="A10" s="27"/>
      <c r="B10" s="28"/>
      <c r="C10" s="20">
        <v>5.0</v>
      </c>
      <c r="D10" s="21" t="s">
        <v>15</v>
      </c>
      <c r="E10" s="21" t="s">
        <v>16</v>
      </c>
      <c r="F10" s="29">
        <v>4.6</v>
      </c>
      <c r="G10" s="23">
        <v>428.0</v>
      </c>
      <c r="H10" s="30"/>
      <c r="I10" s="31"/>
      <c r="J10" s="26"/>
      <c r="K10" s="12"/>
      <c r="L10" s="12"/>
      <c r="M10" s="12"/>
      <c r="N10" s="12"/>
      <c r="O10" s="4"/>
      <c r="P10" s="4"/>
      <c r="Q10" s="4"/>
      <c r="R10" s="4"/>
      <c r="S10" s="4"/>
      <c r="T10" s="4"/>
      <c r="U10" s="4"/>
      <c r="V10" s="4"/>
      <c r="W10" s="4"/>
    </row>
    <row r="11">
      <c r="A11" s="27"/>
      <c r="B11" s="33"/>
      <c r="C11" s="34">
        <v>6.0</v>
      </c>
      <c r="D11" s="34" t="s">
        <v>15</v>
      </c>
      <c r="E11" s="34" t="s">
        <v>16</v>
      </c>
      <c r="F11" s="35">
        <v>14.4</v>
      </c>
      <c r="G11" s="36">
        <v>440.0</v>
      </c>
      <c r="H11" s="37"/>
      <c r="I11" s="38"/>
      <c r="J11" s="26"/>
      <c r="K11" s="12"/>
      <c r="L11" s="12"/>
      <c r="M11" s="12"/>
      <c r="N11" s="12"/>
      <c r="O11" s="4"/>
      <c r="P11" s="4"/>
      <c r="Q11" s="4"/>
      <c r="R11" s="4"/>
      <c r="S11" s="4"/>
      <c r="T11" s="4"/>
      <c r="U11" s="4"/>
      <c r="V11" s="4"/>
      <c r="W11" s="4"/>
    </row>
    <row r="12">
      <c r="A12" s="27"/>
      <c r="B12" s="39" t="s">
        <v>17</v>
      </c>
      <c r="C12" s="20">
        <v>1.0</v>
      </c>
      <c r="D12" s="20" t="s">
        <v>15</v>
      </c>
      <c r="E12" s="21" t="s">
        <v>16</v>
      </c>
      <c r="F12" s="29">
        <v>22.8</v>
      </c>
      <c r="G12" s="23">
        <v>428.0</v>
      </c>
      <c r="H12" s="24"/>
      <c r="I12" s="25">
        <f>AVERAGE(F12,F13,F14)</f>
        <v>22.5</v>
      </c>
      <c r="J12" s="26"/>
      <c r="K12" s="12"/>
      <c r="L12" s="12"/>
      <c r="M12" s="12"/>
      <c r="N12" s="12"/>
      <c r="O12" s="40"/>
      <c r="P12" s="4"/>
      <c r="Q12" s="4"/>
      <c r="R12" s="4"/>
      <c r="S12" s="4"/>
      <c r="T12" s="4"/>
      <c r="U12" s="4"/>
      <c r="V12" s="4"/>
      <c r="W12" s="4"/>
    </row>
    <row r="13">
      <c r="A13" s="27"/>
      <c r="B13" s="28"/>
      <c r="C13" s="20">
        <v>2.0</v>
      </c>
      <c r="D13" s="21" t="s">
        <v>15</v>
      </c>
      <c r="E13" s="21" t="s">
        <v>16</v>
      </c>
      <c r="F13" s="29">
        <v>21.4</v>
      </c>
      <c r="G13" s="23">
        <v>436.0</v>
      </c>
      <c r="H13" s="30"/>
      <c r="I13" s="31"/>
      <c r="J13" s="26"/>
      <c r="K13" s="12"/>
      <c r="L13" s="12"/>
      <c r="M13" s="12"/>
      <c r="N13" s="12"/>
      <c r="O13" s="4"/>
      <c r="P13" s="4"/>
      <c r="Q13" s="4"/>
      <c r="R13" s="4"/>
      <c r="S13" s="4"/>
      <c r="T13" s="4"/>
      <c r="U13" s="4"/>
      <c r="V13" s="4"/>
      <c r="W13" s="4"/>
    </row>
    <row r="14">
      <c r="A14" s="27"/>
      <c r="B14" s="28"/>
      <c r="C14" s="20">
        <v>3.0</v>
      </c>
      <c r="D14" s="21" t="s">
        <v>15</v>
      </c>
      <c r="E14" s="21" t="s">
        <v>16</v>
      </c>
      <c r="F14" s="41">
        <v>23.3</v>
      </c>
      <c r="G14" s="23">
        <v>441.0</v>
      </c>
      <c r="H14" s="30"/>
      <c r="I14" s="31"/>
      <c r="J14" s="26"/>
      <c r="K14" s="12"/>
      <c r="L14" s="12"/>
      <c r="M14" s="12"/>
      <c r="N14" s="12"/>
      <c r="O14" s="4"/>
      <c r="P14" s="4"/>
      <c r="Q14" s="4"/>
      <c r="R14" s="4"/>
      <c r="S14" s="4"/>
      <c r="T14" s="4"/>
      <c r="U14" s="4"/>
      <c r="V14" s="4"/>
      <c r="W14" s="4"/>
    </row>
    <row r="15">
      <c r="A15" s="27"/>
      <c r="B15" s="28"/>
      <c r="C15" s="20">
        <v>4.0</v>
      </c>
      <c r="D15" s="21" t="s">
        <v>15</v>
      </c>
      <c r="E15" s="21" t="s">
        <v>16</v>
      </c>
      <c r="F15" s="29">
        <v>9.5</v>
      </c>
      <c r="G15" s="23">
        <v>434.0</v>
      </c>
      <c r="H15" s="30"/>
      <c r="I15" s="31"/>
      <c r="J15" s="26"/>
      <c r="K15" s="12"/>
      <c r="L15" s="12"/>
      <c r="M15" s="12"/>
      <c r="N15" s="12"/>
      <c r="P15" s="4"/>
      <c r="Q15" s="4"/>
      <c r="R15" s="4"/>
      <c r="S15" s="4"/>
      <c r="T15" s="4"/>
      <c r="U15" s="4"/>
      <c r="V15" s="4"/>
      <c r="W15" s="4"/>
    </row>
    <row r="16">
      <c r="A16" s="27"/>
      <c r="B16" s="28"/>
      <c r="C16" s="20">
        <v>5.0</v>
      </c>
      <c r="D16" s="21" t="s">
        <v>15</v>
      </c>
      <c r="E16" s="21" t="s">
        <v>16</v>
      </c>
      <c r="F16" s="29">
        <v>12.2</v>
      </c>
      <c r="G16" s="23">
        <v>439.0</v>
      </c>
      <c r="H16" s="30"/>
      <c r="I16" s="31"/>
      <c r="J16" s="26"/>
      <c r="K16" s="12"/>
      <c r="L16" s="12"/>
      <c r="M16" s="12"/>
      <c r="N16" s="12"/>
      <c r="P16" s="4"/>
      <c r="Q16" s="4"/>
      <c r="R16" s="4"/>
      <c r="S16" s="4"/>
      <c r="T16" s="4"/>
      <c r="U16" s="4"/>
      <c r="V16" s="4"/>
      <c r="W16" s="4"/>
    </row>
    <row r="17">
      <c r="A17" s="42"/>
      <c r="B17" s="33"/>
      <c r="C17" s="34">
        <v>6.0</v>
      </c>
      <c r="D17" s="34" t="s">
        <v>15</v>
      </c>
      <c r="E17" s="34" t="s">
        <v>16</v>
      </c>
      <c r="F17" s="35">
        <v>14.8</v>
      </c>
      <c r="G17" s="36">
        <v>430.0</v>
      </c>
      <c r="H17" s="37"/>
      <c r="I17" s="38"/>
      <c r="J17" s="26"/>
      <c r="K17" s="12"/>
      <c r="L17" s="12"/>
      <c r="M17" s="12"/>
      <c r="N17" s="12"/>
      <c r="P17" s="4"/>
      <c r="Q17" s="4"/>
      <c r="R17" s="4"/>
      <c r="S17" s="4"/>
      <c r="T17" s="4"/>
      <c r="U17" s="4"/>
      <c r="V17" s="4"/>
      <c r="W17" s="4"/>
    </row>
    <row r="18">
      <c r="A18" s="43" t="s">
        <v>18</v>
      </c>
      <c r="B18" s="39" t="s">
        <v>14</v>
      </c>
      <c r="C18" s="20">
        <v>1.0</v>
      </c>
      <c r="D18" s="20" t="s">
        <v>15</v>
      </c>
      <c r="E18" s="21" t="s">
        <v>16</v>
      </c>
      <c r="F18" s="41">
        <v>24.0</v>
      </c>
      <c r="G18" s="23">
        <v>439.0</v>
      </c>
      <c r="H18" s="24"/>
      <c r="I18" s="25">
        <f>AVERAGE(F18,F19,F20)</f>
        <v>22.8</v>
      </c>
      <c r="J18" s="26"/>
      <c r="K18" s="12"/>
      <c r="L18" s="12"/>
      <c r="M18" s="12"/>
      <c r="N18" s="12"/>
      <c r="O18" s="4"/>
      <c r="P18" s="4"/>
      <c r="Q18" s="4"/>
      <c r="R18" s="4"/>
      <c r="S18" s="4"/>
      <c r="T18" s="4"/>
      <c r="U18" s="4"/>
      <c r="V18" s="4"/>
      <c r="W18" s="4"/>
    </row>
    <row r="19">
      <c r="A19" s="27"/>
      <c r="B19" s="28"/>
      <c r="C19" s="20">
        <v>2.0</v>
      </c>
      <c r="D19" s="21" t="s">
        <v>15</v>
      </c>
      <c r="E19" s="21" t="s">
        <v>16</v>
      </c>
      <c r="F19" s="29">
        <v>21.8</v>
      </c>
      <c r="G19" s="23">
        <v>431.0</v>
      </c>
      <c r="H19" s="30"/>
      <c r="I19" s="31"/>
      <c r="J19" s="26"/>
      <c r="K19" s="12"/>
      <c r="L19" s="12"/>
      <c r="M19" s="12"/>
      <c r="N19" s="12"/>
      <c r="O19" s="4"/>
      <c r="P19" s="4"/>
      <c r="Q19" s="4"/>
      <c r="R19" s="4"/>
      <c r="S19" s="4"/>
      <c r="T19" s="4"/>
      <c r="U19" s="4"/>
      <c r="V19" s="4"/>
      <c r="W19" s="4"/>
    </row>
    <row r="20">
      <c r="A20" s="27"/>
      <c r="B20" s="28"/>
      <c r="C20" s="20">
        <v>3.0</v>
      </c>
      <c r="D20" s="21" t="s">
        <v>15</v>
      </c>
      <c r="E20" s="21" t="s">
        <v>16</v>
      </c>
      <c r="F20" s="29">
        <v>22.6</v>
      </c>
      <c r="G20" s="23">
        <v>439.0</v>
      </c>
      <c r="H20" s="30"/>
      <c r="I20" s="31"/>
      <c r="J20" s="26"/>
      <c r="K20" s="12"/>
      <c r="L20" s="12"/>
      <c r="M20" s="12"/>
      <c r="N20" s="12"/>
      <c r="O20" s="4"/>
      <c r="P20" s="4"/>
      <c r="Q20" s="4"/>
      <c r="R20" s="4"/>
      <c r="S20" s="4"/>
      <c r="T20" s="4"/>
      <c r="U20" s="4"/>
      <c r="V20" s="4"/>
      <c r="W20" s="4"/>
    </row>
    <row r="21">
      <c r="A21" s="27"/>
      <c r="B21" s="28"/>
      <c r="C21" s="20">
        <v>4.0</v>
      </c>
      <c r="D21" s="21" t="s">
        <v>15</v>
      </c>
      <c r="E21" s="21" t="s">
        <v>16</v>
      </c>
      <c r="F21" s="29">
        <v>13.9</v>
      </c>
      <c r="G21" s="23">
        <v>433.0</v>
      </c>
      <c r="H21" s="30"/>
      <c r="I21" s="31"/>
      <c r="J21" s="26"/>
      <c r="K21" s="12"/>
      <c r="L21" s="12"/>
      <c r="M21" s="12"/>
      <c r="N21" s="12"/>
      <c r="O21" s="4"/>
      <c r="P21" s="4"/>
      <c r="Q21" s="4"/>
      <c r="R21" s="4"/>
      <c r="S21" s="4"/>
      <c r="T21" s="4"/>
      <c r="U21" s="4"/>
      <c r="V21" s="4"/>
      <c r="W21" s="4"/>
    </row>
    <row r="22">
      <c r="A22" s="27"/>
      <c r="B22" s="28"/>
      <c r="C22" s="20">
        <v>5.0</v>
      </c>
      <c r="D22" s="21" t="s">
        <v>15</v>
      </c>
      <c r="E22" s="21" t="s">
        <v>16</v>
      </c>
      <c r="F22" s="29">
        <v>7.5</v>
      </c>
      <c r="G22" s="23">
        <v>431.0</v>
      </c>
      <c r="H22" s="30"/>
      <c r="I22" s="31"/>
      <c r="J22" s="26"/>
      <c r="K22" s="12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27"/>
      <c r="B23" s="33"/>
      <c r="C23" s="34">
        <v>6.0</v>
      </c>
      <c r="D23" s="34" t="s">
        <v>15</v>
      </c>
      <c r="E23" s="34" t="s">
        <v>16</v>
      </c>
      <c r="F23" s="35">
        <v>14.7</v>
      </c>
      <c r="G23" s="36">
        <v>434.0</v>
      </c>
      <c r="H23" s="37"/>
      <c r="I23" s="38"/>
      <c r="J23" s="26"/>
      <c r="K23" s="12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27"/>
      <c r="B24" s="39" t="s">
        <v>17</v>
      </c>
      <c r="C24" s="20">
        <v>1.0</v>
      </c>
      <c r="D24" s="21" t="s">
        <v>15</v>
      </c>
      <c r="E24" s="21" t="s">
        <v>16</v>
      </c>
      <c r="F24" s="41">
        <v>24.5</v>
      </c>
      <c r="G24" s="23">
        <v>441.0</v>
      </c>
      <c r="H24" s="24"/>
      <c r="I24" s="25">
        <f>AVERAGE(F24,F25,F26)</f>
        <v>23.03333333</v>
      </c>
      <c r="J24" s="44"/>
      <c r="K24" s="12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27"/>
      <c r="B25" s="28"/>
      <c r="C25" s="20">
        <v>2.0</v>
      </c>
      <c r="D25" s="21" t="s">
        <v>15</v>
      </c>
      <c r="E25" s="21" t="s">
        <v>16</v>
      </c>
      <c r="F25" s="29">
        <v>21.5</v>
      </c>
      <c r="G25" s="23">
        <v>446.0</v>
      </c>
      <c r="H25" s="30"/>
      <c r="I25" s="31"/>
      <c r="J25" s="26"/>
      <c r="K25" s="12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27"/>
      <c r="B26" s="28"/>
      <c r="C26" s="20">
        <v>3.0</v>
      </c>
      <c r="D26" s="21" t="s">
        <v>15</v>
      </c>
      <c r="E26" s="21" t="s">
        <v>16</v>
      </c>
      <c r="F26" s="29">
        <v>23.1</v>
      </c>
      <c r="G26" s="23">
        <v>441.0</v>
      </c>
      <c r="H26" s="30"/>
      <c r="I26" s="31"/>
      <c r="J26" s="26"/>
      <c r="K26" s="12"/>
      <c r="L26" s="4"/>
      <c r="M26" s="45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27"/>
      <c r="B27" s="28"/>
      <c r="C27" s="20">
        <v>4.0</v>
      </c>
      <c r="D27" s="21" t="s">
        <v>15</v>
      </c>
      <c r="E27" s="21" t="s">
        <v>16</v>
      </c>
      <c r="F27" s="29">
        <v>5.9</v>
      </c>
      <c r="G27" s="23">
        <v>438.0</v>
      </c>
      <c r="H27" s="30"/>
      <c r="I27" s="31"/>
      <c r="J27" s="26"/>
      <c r="K27" s="12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27"/>
      <c r="B28" s="28"/>
      <c r="C28" s="20">
        <v>5.0</v>
      </c>
      <c r="D28" s="21" t="s">
        <v>15</v>
      </c>
      <c r="E28" s="21" t="s">
        <v>16</v>
      </c>
      <c r="F28" s="29">
        <v>12.5</v>
      </c>
      <c r="G28" s="23">
        <v>432.0</v>
      </c>
      <c r="H28" s="30"/>
      <c r="I28" s="31"/>
      <c r="J28" s="26"/>
      <c r="K28" s="12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42"/>
      <c r="B29" s="33"/>
      <c r="C29" s="34">
        <v>6.0</v>
      </c>
      <c r="D29" s="34" t="s">
        <v>15</v>
      </c>
      <c r="E29" s="34" t="s">
        <v>16</v>
      </c>
      <c r="F29" s="35">
        <v>14.7</v>
      </c>
      <c r="G29" s="36">
        <v>447.0</v>
      </c>
      <c r="H29" s="37"/>
      <c r="I29" s="38"/>
      <c r="J29" s="26"/>
      <c r="K29" s="12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43" t="s">
        <v>19</v>
      </c>
      <c r="B30" s="39" t="s">
        <v>14</v>
      </c>
      <c r="C30" s="20">
        <v>1.0</v>
      </c>
      <c r="D30" s="20" t="s">
        <v>15</v>
      </c>
      <c r="E30" s="21" t="s">
        <v>16</v>
      </c>
      <c r="F30" s="29" t="s">
        <v>20</v>
      </c>
      <c r="G30" s="23">
        <v>439.0</v>
      </c>
      <c r="H30" s="24"/>
      <c r="I30" s="25"/>
      <c r="J30" s="26"/>
      <c r="K30" s="12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27"/>
      <c r="B31" s="28"/>
      <c r="C31" s="20">
        <v>2.0</v>
      </c>
      <c r="D31" s="21" t="s">
        <v>15</v>
      </c>
      <c r="E31" s="21" t="s">
        <v>16</v>
      </c>
      <c r="F31" s="29" t="s">
        <v>20</v>
      </c>
      <c r="G31" s="23">
        <v>463.0</v>
      </c>
      <c r="H31" s="30"/>
      <c r="I31" s="31"/>
      <c r="J31" s="26"/>
      <c r="K31" s="12"/>
      <c r="L31" s="4"/>
      <c r="M31" s="45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27"/>
      <c r="B32" s="28"/>
      <c r="C32" s="20">
        <v>3.0</v>
      </c>
      <c r="D32" s="21" t="s">
        <v>15</v>
      </c>
      <c r="E32" s="21" t="s">
        <v>16</v>
      </c>
      <c r="F32" s="29" t="s">
        <v>20</v>
      </c>
      <c r="G32" s="23">
        <v>479.0</v>
      </c>
      <c r="H32" s="30"/>
      <c r="I32" s="31"/>
      <c r="J32" s="26"/>
      <c r="K32" s="12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27"/>
      <c r="B33" s="28"/>
      <c r="C33" s="20">
        <v>4.0</v>
      </c>
      <c r="D33" s="21" t="s">
        <v>15</v>
      </c>
      <c r="E33" s="21"/>
      <c r="F33" s="46"/>
      <c r="G33" s="47"/>
      <c r="H33" s="30"/>
      <c r="I33" s="31"/>
      <c r="J33" s="26"/>
      <c r="K33" s="12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27"/>
      <c r="B34" s="28"/>
      <c r="C34" s="20">
        <v>5.0</v>
      </c>
      <c r="D34" s="21" t="s">
        <v>15</v>
      </c>
      <c r="E34" s="21"/>
      <c r="F34" s="46"/>
      <c r="G34" s="47"/>
      <c r="H34" s="30"/>
      <c r="I34" s="31"/>
      <c r="J34" s="26"/>
      <c r="K34" s="12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27"/>
      <c r="B35" s="33"/>
      <c r="C35" s="34">
        <v>6.0</v>
      </c>
      <c r="D35" s="34" t="s">
        <v>15</v>
      </c>
      <c r="E35" s="48"/>
      <c r="F35" s="49"/>
      <c r="G35" s="50"/>
      <c r="H35" s="37"/>
      <c r="I35" s="38"/>
      <c r="J35" s="26"/>
      <c r="K35" s="12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27"/>
      <c r="B36" s="39" t="s">
        <v>21</v>
      </c>
      <c r="C36" s="20">
        <v>1.0</v>
      </c>
      <c r="D36" s="20" t="s">
        <v>15</v>
      </c>
      <c r="E36" s="21" t="s">
        <v>16</v>
      </c>
      <c r="F36" s="29" t="s">
        <v>20</v>
      </c>
      <c r="G36" s="23">
        <v>436.0</v>
      </c>
      <c r="H36" s="24"/>
      <c r="I36" s="25"/>
      <c r="J36" s="26"/>
      <c r="K36" s="26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27"/>
      <c r="B37" s="28"/>
      <c r="C37" s="20">
        <v>2.0</v>
      </c>
      <c r="D37" s="21" t="s">
        <v>15</v>
      </c>
      <c r="E37" s="21" t="s">
        <v>16</v>
      </c>
      <c r="F37" s="29" t="s">
        <v>20</v>
      </c>
      <c r="G37" s="23">
        <v>456.0</v>
      </c>
      <c r="H37" s="30"/>
      <c r="I37" s="31"/>
      <c r="J37" s="26"/>
      <c r="K37" s="26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27"/>
      <c r="B38" s="28"/>
      <c r="C38" s="20">
        <v>3.0</v>
      </c>
      <c r="D38" s="21" t="s">
        <v>15</v>
      </c>
      <c r="E38" s="21" t="s">
        <v>16</v>
      </c>
      <c r="F38" s="29" t="s">
        <v>20</v>
      </c>
      <c r="G38" s="23">
        <v>463.0</v>
      </c>
      <c r="H38" s="30"/>
      <c r="I38" s="31"/>
      <c r="J38" s="26"/>
      <c r="K38" s="26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27"/>
      <c r="B39" s="28"/>
      <c r="C39" s="20">
        <v>4.0</v>
      </c>
      <c r="D39" s="21" t="s">
        <v>15</v>
      </c>
      <c r="E39" s="21"/>
      <c r="F39" s="46"/>
      <c r="G39" s="47"/>
      <c r="H39" s="30"/>
      <c r="I39" s="31"/>
      <c r="J39" s="26"/>
      <c r="K39" s="26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27"/>
      <c r="B40" s="28"/>
      <c r="C40" s="20">
        <v>5.0</v>
      </c>
      <c r="D40" s="21" t="s">
        <v>15</v>
      </c>
      <c r="E40" s="21"/>
      <c r="F40" s="46"/>
      <c r="G40" s="47"/>
      <c r="H40" s="30"/>
      <c r="I40" s="31"/>
      <c r="J40" s="26"/>
      <c r="K40" s="26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2"/>
      <c r="B41" s="33"/>
      <c r="C41" s="34">
        <v>6.0</v>
      </c>
      <c r="D41" s="34" t="s">
        <v>15</v>
      </c>
      <c r="E41" s="48"/>
      <c r="F41" s="49"/>
      <c r="G41" s="50"/>
      <c r="H41" s="37"/>
      <c r="I41" s="38"/>
      <c r="J41" s="26"/>
      <c r="K41" s="26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3" t="s">
        <v>22</v>
      </c>
      <c r="B42" s="39" t="s">
        <v>14</v>
      </c>
      <c r="C42" s="20">
        <v>1.0</v>
      </c>
      <c r="D42" s="20" t="s">
        <v>15</v>
      </c>
      <c r="E42" s="21" t="s">
        <v>23</v>
      </c>
      <c r="F42" s="29">
        <v>15.0</v>
      </c>
      <c r="G42" s="23">
        <v>358.0</v>
      </c>
      <c r="H42" s="24"/>
      <c r="I42" s="25">
        <f>AVERAGE(F42,F43,F44)</f>
        <v>15.23333333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27"/>
      <c r="B43" s="28"/>
      <c r="C43" s="20">
        <v>2.0</v>
      </c>
      <c r="D43" s="21" t="s">
        <v>15</v>
      </c>
      <c r="E43" s="21" t="s">
        <v>23</v>
      </c>
      <c r="F43" s="41">
        <v>15.7</v>
      </c>
      <c r="G43" s="23">
        <v>362.0</v>
      </c>
      <c r="H43" s="30"/>
      <c r="I43" s="31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27"/>
      <c r="B44" s="28"/>
      <c r="C44" s="20">
        <v>3.0</v>
      </c>
      <c r="D44" s="21" t="s">
        <v>15</v>
      </c>
      <c r="E44" s="21" t="s">
        <v>23</v>
      </c>
      <c r="F44" s="29">
        <v>15.0</v>
      </c>
      <c r="G44" s="23">
        <v>363.0</v>
      </c>
      <c r="H44" s="30"/>
      <c r="I44" s="31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27"/>
      <c r="B45" s="28"/>
      <c r="C45" s="20">
        <v>4.0</v>
      </c>
      <c r="D45" s="21" t="s">
        <v>15</v>
      </c>
      <c r="E45" s="21" t="s">
        <v>23</v>
      </c>
      <c r="F45" s="29">
        <v>8.7</v>
      </c>
      <c r="G45" s="23">
        <v>367.0</v>
      </c>
      <c r="H45" s="30"/>
      <c r="I45" s="31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27"/>
      <c r="B46" s="28"/>
      <c r="C46" s="20">
        <v>5.0</v>
      </c>
      <c r="D46" s="21" t="s">
        <v>15</v>
      </c>
      <c r="E46" s="21" t="s">
        <v>23</v>
      </c>
      <c r="F46" s="29">
        <v>4.3</v>
      </c>
      <c r="G46" s="23">
        <v>370.0</v>
      </c>
      <c r="H46" s="30"/>
      <c r="I46" s="31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27"/>
      <c r="B47" s="33"/>
      <c r="C47" s="34">
        <v>6.0</v>
      </c>
      <c r="D47" s="34" t="s">
        <v>15</v>
      </c>
      <c r="E47" s="48" t="s">
        <v>23</v>
      </c>
      <c r="F47" s="51">
        <v>12.0</v>
      </c>
      <c r="G47" s="36">
        <v>364.0</v>
      </c>
      <c r="H47" s="37"/>
      <c r="I47" s="38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27"/>
      <c r="B48" s="39" t="s">
        <v>17</v>
      </c>
      <c r="C48" s="20">
        <v>1.0</v>
      </c>
      <c r="D48" s="20" t="s">
        <v>15</v>
      </c>
      <c r="E48" s="21" t="s">
        <v>23</v>
      </c>
      <c r="F48" s="29">
        <v>16.0</v>
      </c>
      <c r="G48" s="23">
        <v>359.0</v>
      </c>
      <c r="H48" s="24"/>
      <c r="I48" s="25">
        <f>AVERAGE(F48,F49,F50)</f>
        <v>15.63333333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27"/>
      <c r="B49" s="28"/>
      <c r="C49" s="20">
        <v>2.0</v>
      </c>
      <c r="D49" s="21" t="s">
        <v>15</v>
      </c>
      <c r="E49" s="21" t="s">
        <v>23</v>
      </c>
      <c r="F49" s="29">
        <v>14.6</v>
      </c>
      <c r="G49" s="23">
        <v>367.0</v>
      </c>
      <c r="H49" s="30"/>
      <c r="I49" s="31"/>
      <c r="J49" s="4"/>
      <c r="K49" s="52"/>
      <c r="L49" s="52"/>
      <c r="M49" s="52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27"/>
      <c r="B50" s="28"/>
      <c r="C50" s="20">
        <v>3.0</v>
      </c>
      <c r="D50" s="21" t="s">
        <v>15</v>
      </c>
      <c r="E50" s="21" t="s">
        <v>23</v>
      </c>
      <c r="F50" s="41">
        <v>16.3</v>
      </c>
      <c r="G50" s="23">
        <v>364.0</v>
      </c>
      <c r="H50" s="30"/>
      <c r="I50" s="31"/>
      <c r="J50" s="4"/>
      <c r="K50" s="52"/>
      <c r="L50" s="52"/>
      <c r="M50" s="52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27"/>
      <c r="B51" s="28"/>
      <c r="C51" s="20">
        <v>4.0</v>
      </c>
      <c r="D51" s="21" t="s">
        <v>15</v>
      </c>
      <c r="E51" s="21" t="s">
        <v>23</v>
      </c>
      <c r="F51" s="29">
        <v>5.2</v>
      </c>
      <c r="G51" s="23">
        <v>365.0</v>
      </c>
      <c r="H51" s="30"/>
      <c r="I51" s="31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27"/>
      <c r="B52" s="28"/>
      <c r="C52" s="20">
        <v>5.0</v>
      </c>
      <c r="D52" s="21" t="s">
        <v>15</v>
      </c>
      <c r="E52" s="21" t="s">
        <v>23</v>
      </c>
      <c r="F52" s="29">
        <v>6.4</v>
      </c>
      <c r="G52" s="23">
        <v>373.0</v>
      </c>
      <c r="H52" s="30"/>
      <c r="I52" s="31"/>
      <c r="J52" s="4"/>
      <c r="K52" s="52"/>
      <c r="L52" s="52"/>
      <c r="M52" s="52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2"/>
      <c r="B53" s="33"/>
      <c r="C53" s="34">
        <v>6.0</v>
      </c>
      <c r="D53" s="34" t="s">
        <v>15</v>
      </c>
      <c r="E53" s="48" t="s">
        <v>23</v>
      </c>
      <c r="F53" s="35">
        <v>12.1</v>
      </c>
      <c r="G53" s="36">
        <v>365.0</v>
      </c>
      <c r="H53" s="37"/>
      <c r="I53" s="38"/>
      <c r="J53" s="4"/>
      <c r="K53" s="52"/>
      <c r="L53" s="52"/>
      <c r="M53" s="52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3" t="s">
        <v>24</v>
      </c>
      <c r="B54" s="39" t="s">
        <v>14</v>
      </c>
      <c r="C54" s="20">
        <v>1.0</v>
      </c>
      <c r="D54" s="20" t="s">
        <v>15</v>
      </c>
      <c r="E54" s="21" t="s">
        <v>23</v>
      </c>
      <c r="F54" s="41">
        <v>17.3</v>
      </c>
      <c r="G54" s="23">
        <v>375.0</v>
      </c>
      <c r="H54" s="24"/>
      <c r="I54" s="25">
        <f>AVERAGE(F54,F55,F56)</f>
        <v>15.73333333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27"/>
      <c r="B55" s="28"/>
      <c r="C55" s="20">
        <v>2.0</v>
      </c>
      <c r="D55" s="21" t="s">
        <v>15</v>
      </c>
      <c r="E55" s="21" t="s">
        <v>23</v>
      </c>
      <c r="F55" s="29">
        <v>15.3</v>
      </c>
      <c r="G55" s="23">
        <v>366.0</v>
      </c>
      <c r="H55" s="30"/>
      <c r="I55" s="31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27"/>
      <c r="B56" s="28"/>
      <c r="C56" s="20">
        <v>3.0</v>
      </c>
      <c r="D56" s="21" t="s">
        <v>15</v>
      </c>
      <c r="E56" s="21" t="s">
        <v>23</v>
      </c>
      <c r="F56" s="29">
        <v>14.6</v>
      </c>
      <c r="G56" s="23">
        <v>360.0</v>
      </c>
      <c r="H56" s="30"/>
      <c r="I56" s="31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27"/>
      <c r="B57" s="28"/>
      <c r="C57" s="20">
        <v>4.0</v>
      </c>
      <c r="D57" s="21" t="s">
        <v>15</v>
      </c>
      <c r="E57" s="21" t="s">
        <v>23</v>
      </c>
      <c r="F57" s="29">
        <v>10.0</v>
      </c>
      <c r="G57" s="23">
        <v>373.0</v>
      </c>
      <c r="H57" s="30"/>
      <c r="I57" s="31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27"/>
      <c r="B58" s="28"/>
      <c r="C58" s="20">
        <v>5.0</v>
      </c>
      <c r="D58" s="21" t="s">
        <v>15</v>
      </c>
      <c r="E58" s="21" t="s">
        <v>23</v>
      </c>
      <c r="F58" s="29">
        <v>2.8</v>
      </c>
      <c r="G58" s="23">
        <v>368.0</v>
      </c>
      <c r="H58" s="30"/>
      <c r="I58" s="31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27"/>
      <c r="B59" s="33"/>
      <c r="C59" s="34">
        <v>6.0</v>
      </c>
      <c r="D59" s="34" t="s">
        <v>15</v>
      </c>
      <c r="E59" s="48" t="s">
        <v>23</v>
      </c>
      <c r="F59" s="35">
        <v>13.7</v>
      </c>
      <c r="G59" s="53">
        <v>385.0</v>
      </c>
      <c r="H59" s="37"/>
      <c r="I59" s="38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27"/>
      <c r="B60" s="39" t="s">
        <v>17</v>
      </c>
      <c r="C60" s="20">
        <v>1.0</v>
      </c>
      <c r="D60" s="20" t="s">
        <v>15</v>
      </c>
      <c r="E60" s="21" t="s">
        <v>23</v>
      </c>
      <c r="F60" s="41">
        <v>14.7</v>
      </c>
      <c r="G60" s="23">
        <v>374.0</v>
      </c>
      <c r="H60" s="24"/>
      <c r="I60" s="25">
        <f>AVERAGE(F60,F61,F62)</f>
        <v>13.93333333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27"/>
      <c r="B61" s="28"/>
      <c r="C61" s="20">
        <v>2.0</v>
      </c>
      <c r="D61" s="21" t="s">
        <v>15</v>
      </c>
      <c r="E61" s="21" t="s">
        <v>23</v>
      </c>
      <c r="F61" s="29">
        <v>12.8</v>
      </c>
      <c r="G61" s="23">
        <v>373.0</v>
      </c>
      <c r="H61" s="30"/>
      <c r="I61" s="31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27"/>
      <c r="B62" s="28"/>
      <c r="C62" s="20">
        <v>3.0</v>
      </c>
      <c r="D62" s="21" t="s">
        <v>15</v>
      </c>
      <c r="E62" s="21" t="s">
        <v>23</v>
      </c>
      <c r="F62" s="29">
        <v>14.3</v>
      </c>
      <c r="G62" s="23">
        <v>368.0</v>
      </c>
      <c r="H62" s="30"/>
      <c r="I62" s="31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27"/>
      <c r="B63" s="28"/>
      <c r="C63" s="20">
        <v>4.0</v>
      </c>
      <c r="D63" s="21" t="s">
        <v>15</v>
      </c>
      <c r="E63" s="21" t="s">
        <v>23</v>
      </c>
      <c r="F63" s="29">
        <v>5.3</v>
      </c>
      <c r="G63" s="23">
        <v>371.0</v>
      </c>
      <c r="H63" s="30"/>
      <c r="I63" s="31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27"/>
      <c r="B64" s="28"/>
      <c r="C64" s="20">
        <v>5.0</v>
      </c>
      <c r="D64" s="21" t="s">
        <v>15</v>
      </c>
      <c r="E64" s="21" t="s">
        <v>23</v>
      </c>
      <c r="F64" s="29">
        <v>8.3</v>
      </c>
      <c r="G64" s="23">
        <v>377.0</v>
      </c>
      <c r="H64" s="30"/>
      <c r="I64" s="31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2"/>
      <c r="B65" s="33"/>
      <c r="C65" s="34">
        <v>6.0</v>
      </c>
      <c r="D65" s="34" t="s">
        <v>15</v>
      </c>
      <c r="E65" s="48" t="s">
        <v>23</v>
      </c>
      <c r="F65" s="35">
        <v>11.7</v>
      </c>
      <c r="G65" s="36">
        <v>375.0</v>
      </c>
      <c r="H65" s="37"/>
      <c r="I65" s="38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3" t="s">
        <v>25</v>
      </c>
      <c r="B66" s="39" t="s">
        <v>14</v>
      </c>
      <c r="C66" s="20">
        <v>1.0</v>
      </c>
      <c r="D66" s="20" t="s">
        <v>15</v>
      </c>
      <c r="E66" s="21" t="s">
        <v>23</v>
      </c>
      <c r="F66" s="29"/>
      <c r="G66" s="23">
        <v>413.0</v>
      </c>
      <c r="H66" s="24"/>
      <c r="I66" s="25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27"/>
      <c r="B67" s="28"/>
      <c r="C67" s="20">
        <v>2.0</v>
      </c>
      <c r="D67" s="21" t="s">
        <v>15</v>
      </c>
      <c r="E67" s="21" t="s">
        <v>23</v>
      </c>
      <c r="F67" s="29"/>
      <c r="G67" s="23">
        <v>395.0</v>
      </c>
      <c r="H67" s="30"/>
      <c r="I67" s="31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27"/>
      <c r="B68" s="28"/>
      <c r="C68" s="20">
        <v>3.0</v>
      </c>
      <c r="D68" s="21" t="s">
        <v>15</v>
      </c>
      <c r="E68" s="21" t="s">
        <v>23</v>
      </c>
      <c r="F68" s="29"/>
      <c r="G68" s="23">
        <v>416.0</v>
      </c>
      <c r="H68" s="30"/>
      <c r="I68" s="31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27"/>
      <c r="B69" s="28"/>
      <c r="C69" s="20">
        <v>4.0</v>
      </c>
      <c r="D69" s="21" t="s">
        <v>15</v>
      </c>
      <c r="E69" s="21"/>
      <c r="F69" s="29"/>
      <c r="G69" s="23"/>
      <c r="H69" s="30"/>
      <c r="I69" s="31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27"/>
      <c r="B70" s="28"/>
      <c r="C70" s="20">
        <v>5.0</v>
      </c>
      <c r="D70" s="21" t="s">
        <v>15</v>
      </c>
      <c r="E70" s="21"/>
      <c r="F70" s="29"/>
      <c r="G70" s="23"/>
      <c r="H70" s="30"/>
      <c r="I70" s="31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27"/>
      <c r="B71" s="33"/>
      <c r="C71" s="34">
        <v>6.0</v>
      </c>
      <c r="D71" s="34" t="s">
        <v>15</v>
      </c>
      <c r="E71" s="48"/>
      <c r="F71" s="35"/>
      <c r="G71" s="36"/>
      <c r="H71" s="37"/>
      <c r="I71" s="38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27"/>
      <c r="B72" s="39" t="s">
        <v>21</v>
      </c>
      <c r="C72" s="20">
        <v>1.0</v>
      </c>
      <c r="D72" s="20" t="s">
        <v>15</v>
      </c>
      <c r="E72" s="21" t="s">
        <v>23</v>
      </c>
      <c r="F72" s="29"/>
      <c r="G72" s="23">
        <v>410.0</v>
      </c>
      <c r="H72" s="24"/>
      <c r="I72" s="25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27"/>
      <c r="B73" s="28"/>
      <c r="C73" s="20">
        <v>2.0</v>
      </c>
      <c r="D73" s="21" t="s">
        <v>15</v>
      </c>
      <c r="E73" s="21" t="s">
        <v>23</v>
      </c>
      <c r="F73" s="29"/>
      <c r="G73" s="23">
        <v>422.0</v>
      </c>
      <c r="H73" s="30"/>
      <c r="I73" s="31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27"/>
      <c r="B74" s="28"/>
      <c r="C74" s="20">
        <v>3.0</v>
      </c>
      <c r="D74" s="21" t="s">
        <v>15</v>
      </c>
      <c r="E74" s="21" t="s">
        <v>23</v>
      </c>
      <c r="F74" s="29"/>
      <c r="G74" s="23">
        <v>403.0</v>
      </c>
      <c r="H74" s="30"/>
      <c r="I74" s="31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27"/>
      <c r="B75" s="28"/>
      <c r="C75" s="20">
        <v>4.0</v>
      </c>
      <c r="D75" s="21" t="s">
        <v>15</v>
      </c>
      <c r="E75" s="21"/>
      <c r="F75" s="29"/>
      <c r="G75" s="23"/>
      <c r="H75" s="30"/>
      <c r="I75" s="31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27"/>
      <c r="B76" s="28"/>
      <c r="C76" s="20">
        <v>5.0</v>
      </c>
      <c r="D76" s="21" t="s">
        <v>15</v>
      </c>
      <c r="E76" s="21"/>
      <c r="F76" s="46"/>
      <c r="G76" s="47"/>
      <c r="H76" s="30"/>
      <c r="I76" s="31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2"/>
      <c r="B77" s="33"/>
      <c r="C77" s="34">
        <v>6.0</v>
      </c>
      <c r="D77" s="34" t="s">
        <v>15</v>
      </c>
      <c r="E77" s="48"/>
      <c r="F77" s="35"/>
      <c r="G77" s="36"/>
      <c r="H77" s="37"/>
      <c r="I77" s="38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3" t="s">
        <v>26</v>
      </c>
      <c r="B78" s="39" t="s">
        <v>14</v>
      </c>
      <c r="C78" s="20">
        <v>1.0</v>
      </c>
      <c r="D78" s="20" t="s">
        <v>15</v>
      </c>
      <c r="E78" s="21"/>
      <c r="F78" s="54"/>
      <c r="G78" s="47"/>
      <c r="H78" s="24"/>
      <c r="I78" s="25" t="str">
        <f>AVERAGE(F78,F79,F80)</f>
        <v>#DIV/0!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27"/>
      <c r="B79" s="28"/>
      <c r="C79" s="20">
        <v>2.0</v>
      </c>
      <c r="D79" s="21" t="s">
        <v>15</v>
      </c>
      <c r="E79" s="21"/>
      <c r="F79" s="46"/>
      <c r="G79" s="47"/>
      <c r="H79" s="30"/>
      <c r="I79" s="31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27"/>
      <c r="B80" s="28"/>
      <c r="C80" s="20">
        <v>3.0</v>
      </c>
      <c r="D80" s="21" t="s">
        <v>15</v>
      </c>
      <c r="E80" s="21"/>
      <c r="F80" s="46"/>
      <c r="G80" s="47"/>
      <c r="H80" s="30"/>
      <c r="I80" s="31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27"/>
      <c r="B81" s="28"/>
      <c r="C81" s="20">
        <v>4.0</v>
      </c>
      <c r="D81" s="21" t="s">
        <v>15</v>
      </c>
      <c r="E81" s="21"/>
      <c r="F81" s="46"/>
      <c r="G81" s="47"/>
      <c r="H81" s="30"/>
      <c r="I81" s="31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27"/>
      <c r="B82" s="28"/>
      <c r="C82" s="20">
        <v>5.0</v>
      </c>
      <c r="D82" s="21" t="s">
        <v>15</v>
      </c>
      <c r="E82" s="21"/>
      <c r="F82" s="46"/>
      <c r="G82" s="47"/>
      <c r="H82" s="30"/>
      <c r="I82" s="31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27"/>
      <c r="B83" s="33"/>
      <c r="C83" s="34">
        <v>6.0</v>
      </c>
      <c r="D83" s="34" t="s">
        <v>15</v>
      </c>
      <c r="E83" s="48"/>
      <c r="F83" s="49"/>
      <c r="G83" s="50"/>
      <c r="H83" s="37"/>
      <c r="I83" s="38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27"/>
      <c r="B84" s="39" t="s">
        <v>17</v>
      </c>
      <c r="C84" s="20">
        <v>1.0</v>
      </c>
      <c r="D84" s="20" t="s">
        <v>15</v>
      </c>
      <c r="E84" s="21"/>
      <c r="F84" s="54"/>
      <c r="G84" s="47"/>
      <c r="H84" s="24"/>
      <c r="I84" s="25" t="str">
        <f>AVERAGE(F84,F85,F86)</f>
        <v>#DIV/0!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27"/>
      <c r="B85" s="28"/>
      <c r="C85" s="20">
        <v>2.0</v>
      </c>
      <c r="D85" s="21" t="s">
        <v>15</v>
      </c>
      <c r="E85" s="21"/>
      <c r="F85" s="46"/>
      <c r="G85" s="47"/>
      <c r="H85" s="30"/>
      <c r="I85" s="31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27"/>
      <c r="B86" s="28"/>
      <c r="C86" s="20">
        <v>3.0</v>
      </c>
      <c r="D86" s="21" t="s">
        <v>15</v>
      </c>
      <c r="E86" s="21"/>
      <c r="F86" s="46"/>
      <c r="G86" s="47"/>
      <c r="H86" s="30"/>
      <c r="I86" s="31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27"/>
      <c r="B87" s="28"/>
      <c r="C87" s="20">
        <v>4.0</v>
      </c>
      <c r="D87" s="21" t="s">
        <v>15</v>
      </c>
      <c r="E87" s="21"/>
      <c r="F87" s="46"/>
      <c r="G87" s="47"/>
      <c r="H87" s="30"/>
      <c r="I87" s="31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27"/>
      <c r="B88" s="28"/>
      <c r="C88" s="20">
        <v>5.0</v>
      </c>
      <c r="D88" s="21" t="s">
        <v>15</v>
      </c>
      <c r="E88" s="21"/>
      <c r="F88" s="46"/>
      <c r="G88" s="47"/>
      <c r="H88" s="30"/>
      <c r="I88" s="31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55"/>
      <c r="B89" s="56"/>
      <c r="C89" s="34">
        <v>6.0</v>
      </c>
      <c r="D89" s="34" t="s">
        <v>15</v>
      </c>
      <c r="E89" s="48"/>
      <c r="F89" s="49"/>
      <c r="G89" s="50"/>
      <c r="H89" s="37"/>
      <c r="I89" s="38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4"/>
      <c r="F93" s="52" t="s">
        <v>27</v>
      </c>
      <c r="G93" s="52" t="s">
        <v>28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4"/>
      <c r="F94" s="52">
        <v>21.6</v>
      </c>
      <c r="G94" s="52">
        <v>22.3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4"/>
      <c r="F95" s="52">
        <v>22.3</v>
      </c>
      <c r="G95" s="52">
        <v>20.5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4"/>
      <c r="F96" s="52">
        <v>20.8</v>
      </c>
      <c r="G96" s="52">
        <v>21.2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4"/>
      <c r="F97" s="4">
        <f t="shared" ref="F97:G97" si="1">AVERAGE(F94:F96)</f>
        <v>21.56666667</v>
      </c>
      <c r="G97" s="4">
        <f t="shared" si="1"/>
        <v>21.33333333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</sheetData>
  <mergeCells count="38">
    <mergeCell ref="B1:I1"/>
    <mergeCell ref="C2:D2"/>
    <mergeCell ref="C3:I3"/>
    <mergeCell ref="B6:B11"/>
    <mergeCell ref="I6:I11"/>
    <mergeCell ref="B12:B17"/>
    <mergeCell ref="I12:I17"/>
    <mergeCell ref="B36:B41"/>
    <mergeCell ref="B42:B47"/>
    <mergeCell ref="A42:A53"/>
    <mergeCell ref="A54:A65"/>
    <mergeCell ref="A66:A77"/>
    <mergeCell ref="A78:A89"/>
    <mergeCell ref="B54:B59"/>
    <mergeCell ref="B60:B65"/>
    <mergeCell ref="B66:B71"/>
    <mergeCell ref="B72:B77"/>
    <mergeCell ref="B78:B83"/>
    <mergeCell ref="B84:B89"/>
    <mergeCell ref="A6:A17"/>
    <mergeCell ref="A18:A29"/>
    <mergeCell ref="B18:B23"/>
    <mergeCell ref="B24:B29"/>
    <mergeCell ref="A30:A41"/>
    <mergeCell ref="B30:B35"/>
    <mergeCell ref="B48:B53"/>
    <mergeCell ref="I60:I65"/>
    <mergeCell ref="I66:I71"/>
    <mergeCell ref="I72:I77"/>
    <mergeCell ref="I78:I83"/>
    <mergeCell ref="I84:I89"/>
    <mergeCell ref="I18:I23"/>
    <mergeCell ref="I24:I29"/>
    <mergeCell ref="I30:I35"/>
    <mergeCell ref="I36:I41"/>
    <mergeCell ref="I42:I47"/>
    <mergeCell ref="I48:I53"/>
    <mergeCell ref="I54:I59"/>
  </mergeCells>
  <printOptions gridLines="1" horizontalCentered="1"/>
  <pageMargins bottom="0.75" footer="0.0" header="0.0" left="0.25" right="0.25" top="0.75"/>
  <pageSetup paperSize="9" scale="8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hidden="1" min="8" max="8" width="12.63"/>
  </cols>
  <sheetData>
    <row r="1">
      <c r="A1" s="1"/>
      <c r="B1" s="2" t="s">
        <v>29</v>
      </c>
      <c r="C1" s="3"/>
      <c r="D1" s="3"/>
      <c r="E1" s="3"/>
      <c r="F1" s="3"/>
      <c r="G1" s="3"/>
      <c r="H1" s="3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>
      <c r="A2" s="4"/>
      <c r="B2" s="5" t="s">
        <v>1</v>
      </c>
      <c r="C2" s="57"/>
      <c r="D2" s="7"/>
      <c r="E2" s="8" t="s">
        <v>2</v>
      </c>
      <c r="F2" s="8"/>
      <c r="G2" s="8" t="s">
        <v>3</v>
      </c>
      <c r="H2" s="8"/>
      <c r="I2" s="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>
      <c r="A3" s="4"/>
      <c r="B3" s="5" t="s">
        <v>4</v>
      </c>
      <c r="C3" s="11"/>
      <c r="D3" s="3"/>
      <c r="E3" s="3"/>
      <c r="F3" s="3"/>
      <c r="G3" s="3"/>
      <c r="H3" s="3"/>
      <c r="I3" s="7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>
      <c r="A4" s="4"/>
      <c r="B4" s="13"/>
      <c r="C4" s="13"/>
      <c r="D4" s="13"/>
      <c r="E4" s="13"/>
      <c r="F4" s="1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>
      <c r="A5" s="14" t="s">
        <v>5</v>
      </c>
      <c r="B5" s="14"/>
      <c r="C5" s="15" t="s">
        <v>6</v>
      </c>
      <c r="D5" s="15" t="s">
        <v>7</v>
      </c>
      <c r="E5" s="15" t="s">
        <v>8</v>
      </c>
      <c r="F5" s="15" t="s">
        <v>9</v>
      </c>
      <c r="G5" s="16" t="s">
        <v>10</v>
      </c>
      <c r="H5" s="16" t="s">
        <v>11</v>
      </c>
      <c r="I5" s="17" t="s">
        <v>12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>
      <c r="A6" s="18" t="s">
        <v>30</v>
      </c>
      <c r="B6" s="58" t="s">
        <v>14</v>
      </c>
      <c r="C6" s="59">
        <v>1.0</v>
      </c>
      <c r="D6" s="59" t="s">
        <v>15</v>
      </c>
      <c r="E6" s="60" t="s">
        <v>16</v>
      </c>
      <c r="F6" s="61">
        <v>23.6</v>
      </c>
      <c r="G6" s="62">
        <v>427.0</v>
      </c>
      <c r="H6" s="63"/>
      <c r="I6" s="25">
        <f>AVERAGE(F6,F7,F8)</f>
        <v>20.26666667</v>
      </c>
      <c r="J6" s="26"/>
      <c r="K6" s="26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>
      <c r="A7" s="27"/>
      <c r="B7" s="28"/>
      <c r="C7" s="59">
        <v>2.0</v>
      </c>
      <c r="D7" s="60" t="s">
        <v>15</v>
      </c>
      <c r="E7" s="60" t="s">
        <v>16</v>
      </c>
      <c r="F7" s="64">
        <v>20.5</v>
      </c>
      <c r="G7" s="62">
        <v>437.0</v>
      </c>
      <c r="H7" s="65"/>
      <c r="I7" s="31"/>
      <c r="J7" s="26"/>
      <c r="K7" s="26"/>
      <c r="L7" s="4"/>
      <c r="M7" s="45"/>
      <c r="N7" s="4"/>
      <c r="O7" s="4"/>
      <c r="P7" s="4"/>
      <c r="Q7" s="4"/>
      <c r="R7" s="4"/>
      <c r="S7" s="4"/>
      <c r="T7" s="4"/>
      <c r="U7" s="4"/>
      <c r="V7" s="4"/>
      <c r="W7" s="4"/>
    </row>
    <row r="8">
      <c r="A8" s="27"/>
      <c r="B8" s="28"/>
      <c r="C8" s="59">
        <v>3.0</v>
      </c>
      <c r="D8" s="60" t="s">
        <v>15</v>
      </c>
      <c r="E8" s="60" t="s">
        <v>16</v>
      </c>
      <c r="F8" s="64">
        <v>16.7</v>
      </c>
      <c r="G8" s="62">
        <v>435.0</v>
      </c>
      <c r="H8" s="65"/>
      <c r="I8" s="31"/>
      <c r="J8" s="26"/>
      <c r="K8" s="26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27"/>
      <c r="B9" s="28"/>
      <c r="C9" s="59">
        <v>4.0</v>
      </c>
      <c r="D9" s="60" t="s">
        <v>15</v>
      </c>
      <c r="E9" s="60" t="s">
        <v>16</v>
      </c>
      <c r="F9" s="64">
        <v>13.6</v>
      </c>
      <c r="G9" s="62">
        <v>425.0</v>
      </c>
      <c r="H9" s="65"/>
      <c r="I9" s="31"/>
      <c r="J9" s="26"/>
      <c r="K9" s="26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27"/>
      <c r="B10" s="28"/>
      <c r="C10" s="59">
        <v>5.0</v>
      </c>
      <c r="D10" s="60" t="s">
        <v>15</v>
      </c>
      <c r="E10" s="60" t="s">
        <v>16</v>
      </c>
      <c r="F10" s="64">
        <v>6.1</v>
      </c>
      <c r="G10" s="62">
        <v>440.0</v>
      </c>
      <c r="H10" s="65"/>
      <c r="I10" s="31"/>
      <c r="J10" s="26"/>
      <c r="K10" s="26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27"/>
      <c r="B11" s="33"/>
      <c r="C11" s="66">
        <v>6.0</v>
      </c>
      <c r="D11" s="66" t="s">
        <v>15</v>
      </c>
      <c r="E11" s="66" t="s">
        <v>16</v>
      </c>
      <c r="F11" s="67">
        <v>14.2</v>
      </c>
      <c r="G11" s="53">
        <v>435.0</v>
      </c>
      <c r="H11" s="68"/>
      <c r="I11" s="38"/>
      <c r="J11" s="26"/>
      <c r="K11" s="26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27"/>
      <c r="B12" s="39" t="s">
        <v>17</v>
      </c>
      <c r="C12" s="59">
        <v>1.0</v>
      </c>
      <c r="D12" s="59" t="s">
        <v>15</v>
      </c>
      <c r="E12" s="60" t="s">
        <v>16</v>
      </c>
      <c r="F12" s="61">
        <v>22.3</v>
      </c>
      <c r="G12" s="62">
        <v>429.0</v>
      </c>
      <c r="H12" s="63"/>
      <c r="I12" s="25">
        <f>AVERAGE(F12,F13,F14)</f>
        <v>21.5</v>
      </c>
      <c r="J12" s="26"/>
      <c r="K12" s="12"/>
      <c r="L12" s="4"/>
      <c r="M12" s="4"/>
      <c r="N12" s="4"/>
      <c r="O12" s="40"/>
      <c r="P12" s="4"/>
      <c r="Q12" s="4"/>
      <c r="R12" s="4"/>
      <c r="S12" s="4"/>
      <c r="T12" s="4"/>
      <c r="U12" s="4"/>
      <c r="V12" s="4"/>
      <c r="W12" s="4"/>
    </row>
    <row r="13">
      <c r="A13" s="27"/>
      <c r="B13" s="28"/>
      <c r="C13" s="59">
        <v>2.0</v>
      </c>
      <c r="D13" s="60" t="s">
        <v>15</v>
      </c>
      <c r="E13" s="60" t="s">
        <v>16</v>
      </c>
      <c r="F13" s="64">
        <v>20.1</v>
      </c>
      <c r="G13" s="62">
        <v>437.0</v>
      </c>
      <c r="H13" s="65"/>
      <c r="I13" s="31"/>
      <c r="J13" s="26"/>
      <c r="K13" s="12"/>
      <c r="L13" s="4"/>
      <c r="M13" s="45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27"/>
      <c r="B14" s="28"/>
      <c r="C14" s="59">
        <v>3.0</v>
      </c>
      <c r="D14" s="60" t="s">
        <v>15</v>
      </c>
      <c r="E14" s="60" t="s">
        <v>16</v>
      </c>
      <c r="F14" s="64">
        <v>22.1</v>
      </c>
      <c r="G14" s="62">
        <v>445.0</v>
      </c>
      <c r="H14" s="65"/>
      <c r="I14" s="31"/>
      <c r="J14" s="26"/>
      <c r="K14" s="12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27"/>
      <c r="B15" s="28"/>
      <c r="C15" s="59">
        <v>4.0</v>
      </c>
      <c r="D15" s="60" t="s">
        <v>15</v>
      </c>
      <c r="E15" s="60" t="s">
        <v>16</v>
      </c>
      <c r="F15" s="64">
        <v>6.0</v>
      </c>
      <c r="G15" s="62">
        <v>434.0</v>
      </c>
      <c r="H15" s="65"/>
      <c r="I15" s="31"/>
      <c r="J15" s="26"/>
      <c r="K15" s="12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27"/>
      <c r="B16" s="28"/>
      <c r="C16" s="59">
        <v>5.0</v>
      </c>
      <c r="D16" s="60" t="s">
        <v>15</v>
      </c>
      <c r="E16" s="60" t="s">
        <v>16</v>
      </c>
      <c r="F16" s="64">
        <v>17.3</v>
      </c>
      <c r="G16" s="62">
        <v>442.0</v>
      </c>
      <c r="H16" s="65"/>
      <c r="I16" s="31"/>
      <c r="J16" s="26"/>
      <c r="K16" s="12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42"/>
      <c r="B17" s="33"/>
      <c r="C17" s="66">
        <v>6.0</v>
      </c>
      <c r="D17" s="66" t="s">
        <v>15</v>
      </c>
      <c r="E17" s="66" t="s">
        <v>16</v>
      </c>
      <c r="F17" s="67">
        <v>15.8</v>
      </c>
      <c r="G17" s="53">
        <v>426.0</v>
      </c>
      <c r="H17" s="68"/>
      <c r="I17" s="38"/>
      <c r="J17" s="26"/>
      <c r="K17" s="12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43" t="s">
        <v>31</v>
      </c>
      <c r="B18" s="39" t="s">
        <v>14</v>
      </c>
      <c r="C18" s="59">
        <v>1.0</v>
      </c>
      <c r="D18" s="59" t="s">
        <v>15</v>
      </c>
      <c r="E18" s="60" t="s">
        <v>16</v>
      </c>
      <c r="F18" s="61">
        <v>21.7</v>
      </c>
      <c r="G18" s="62">
        <v>442.0</v>
      </c>
      <c r="H18" s="63"/>
      <c r="I18" s="25">
        <f>AVERAGE(F18,F19,F20)</f>
        <v>20.16666667</v>
      </c>
      <c r="J18" s="26"/>
      <c r="K18" s="12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27"/>
      <c r="B19" s="28"/>
      <c r="C19" s="59">
        <v>2.0</v>
      </c>
      <c r="D19" s="60" t="s">
        <v>15</v>
      </c>
      <c r="E19" s="60" t="s">
        <v>16</v>
      </c>
      <c r="F19" s="64">
        <v>19.0</v>
      </c>
      <c r="G19" s="62">
        <v>429.0</v>
      </c>
      <c r="H19" s="65"/>
      <c r="I19" s="31"/>
      <c r="J19" s="26"/>
      <c r="K19" s="12"/>
      <c r="L19" s="4"/>
      <c r="M19" s="45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27"/>
      <c r="B20" s="28"/>
      <c r="C20" s="59">
        <v>3.0</v>
      </c>
      <c r="D20" s="60" t="s">
        <v>15</v>
      </c>
      <c r="E20" s="60" t="s">
        <v>16</v>
      </c>
      <c r="F20" s="64">
        <v>19.8</v>
      </c>
      <c r="G20" s="62">
        <v>440.0</v>
      </c>
      <c r="H20" s="65"/>
      <c r="I20" s="31"/>
      <c r="J20" s="26"/>
      <c r="K20" s="12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27"/>
      <c r="B21" s="28"/>
      <c r="C21" s="59">
        <v>4.0</v>
      </c>
      <c r="D21" s="60" t="s">
        <v>15</v>
      </c>
      <c r="E21" s="60" t="s">
        <v>16</v>
      </c>
      <c r="F21" s="64">
        <v>12.3</v>
      </c>
      <c r="G21" s="62">
        <v>440.0</v>
      </c>
      <c r="H21" s="65"/>
      <c r="I21" s="31"/>
      <c r="J21" s="26"/>
      <c r="K21" s="12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27"/>
      <c r="B22" s="28"/>
      <c r="C22" s="59">
        <v>5.0</v>
      </c>
      <c r="D22" s="60" t="s">
        <v>15</v>
      </c>
      <c r="E22" s="60" t="s">
        <v>16</v>
      </c>
      <c r="F22" s="64">
        <v>4.5</v>
      </c>
      <c r="G22" s="62">
        <v>434.0</v>
      </c>
      <c r="H22" s="65"/>
      <c r="I22" s="31"/>
      <c r="J22" s="26"/>
      <c r="K22" s="12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27"/>
      <c r="B23" s="33"/>
      <c r="C23" s="66">
        <v>6.0</v>
      </c>
      <c r="D23" s="66" t="s">
        <v>15</v>
      </c>
      <c r="E23" s="66" t="s">
        <v>16</v>
      </c>
      <c r="F23" s="67">
        <v>14.6</v>
      </c>
      <c r="G23" s="53">
        <v>444.0</v>
      </c>
      <c r="H23" s="68"/>
      <c r="I23" s="38"/>
      <c r="J23" s="26"/>
      <c r="K23" s="12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27"/>
      <c r="B24" s="39" t="s">
        <v>17</v>
      </c>
      <c r="C24" s="59">
        <v>1.0</v>
      </c>
      <c r="D24" s="60" t="s">
        <v>15</v>
      </c>
      <c r="E24" s="60" t="s">
        <v>16</v>
      </c>
      <c r="F24" s="61">
        <v>20.0</v>
      </c>
      <c r="G24" s="62">
        <v>433.0</v>
      </c>
      <c r="H24" s="63"/>
      <c r="I24" s="25">
        <f>AVERAGE(F24,F25,F26)</f>
        <v>21.73333333</v>
      </c>
      <c r="J24" s="26"/>
      <c r="K24" s="12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27"/>
      <c r="B25" s="28"/>
      <c r="C25" s="59">
        <v>2.0</v>
      </c>
      <c r="D25" s="60" t="s">
        <v>15</v>
      </c>
      <c r="E25" s="60" t="s">
        <v>16</v>
      </c>
      <c r="F25" s="64">
        <v>22.0</v>
      </c>
      <c r="G25" s="62">
        <v>447.0</v>
      </c>
      <c r="H25" s="65"/>
      <c r="I25" s="31"/>
      <c r="J25" s="26"/>
      <c r="K25" s="12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27"/>
      <c r="B26" s="28"/>
      <c r="C26" s="59">
        <v>3.0</v>
      </c>
      <c r="D26" s="60" t="s">
        <v>15</v>
      </c>
      <c r="E26" s="60" t="s">
        <v>16</v>
      </c>
      <c r="F26" s="64">
        <v>23.2</v>
      </c>
      <c r="G26" s="62">
        <v>443.0</v>
      </c>
      <c r="H26" s="65"/>
      <c r="I26" s="31"/>
      <c r="J26" s="26"/>
      <c r="K26" s="12"/>
      <c r="L26" s="4"/>
      <c r="M26" s="45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27"/>
      <c r="B27" s="28"/>
      <c r="C27" s="59">
        <v>4.0</v>
      </c>
      <c r="D27" s="60" t="s">
        <v>15</v>
      </c>
      <c r="E27" s="60" t="s">
        <v>16</v>
      </c>
      <c r="F27" s="64">
        <v>5.2</v>
      </c>
      <c r="G27" s="62">
        <v>437.0</v>
      </c>
      <c r="H27" s="65"/>
      <c r="I27" s="31"/>
      <c r="J27" s="26"/>
      <c r="K27" s="12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27"/>
      <c r="B28" s="28"/>
      <c r="C28" s="59">
        <v>5.0</v>
      </c>
      <c r="D28" s="60" t="s">
        <v>15</v>
      </c>
      <c r="E28" s="60" t="s">
        <v>16</v>
      </c>
      <c r="F28" s="64">
        <v>16.9</v>
      </c>
      <c r="G28" s="62">
        <v>437.0</v>
      </c>
      <c r="H28" s="65"/>
      <c r="I28" s="31"/>
      <c r="J28" s="26"/>
      <c r="K28" s="12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42"/>
      <c r="B29" s="33"/>
      <c r="C29" s="66">
        <v>6.0</v>
      </c>
      <c r="D29" s="66" t="s">
        <v>15</v>
      </c>
      <c r="E29" s="66" t="s">
        <v>16</v>
      </c>
      <c r="F29" s="67">
        <v>15.1</v>
      </c>
      <c r="G29" s="53">
        <v>437.0</v>
      </c>
      <c r="H29" s="68"/>
      <c r="I29" s="38"/>
      <c r="J29" s="26"/>
      <c r="K29" s="12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43" t="s">
        <v>32</v>
      </c>
      <c r="B30" s="39" t="s">
        <v>14</v>
      </c>
      <c r="C30" s="59">
        <v>1.0</v>
      </c>
      <c r="D30" s="59" t="s">
        <v>15</v>
      </c>
      <c r="E30" s="60" t="s">
        <v>23</v>
      </c>
      <c r="F30" s="61">
        <v>15.0</v>
      </c>
      <c r="G30" s="23">
        <v>369.0</v>
      </c>
      <c r="H30" s="63"/>
      <c r="I30" s="25">
        <f>AVERAGE(F30,F31,F32)</f>
        <v>13.96666667</v>
      </c>
      <c r="J30" s="26"/>
      <c r="K30" s="12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27"/>
      <c r="B31" s="28"/>
      <c r="C31" s="59">
        <v>2.0</v>
      </c>
      <c r="D31" s="60" t="s">
        <v>15</v>
      </c>
      <c r="E31" s="60" t="s">
        <v>23</v>
      </c>
      <c r="F31" s="64">
        <v>13.5</v>
      </c>
      <c r="G31" s="23">
        <v>370.0</v>
      </c>
      <c r="H31" s="65"/>
      <c r="I31" s="31"/>
      <c r="J31" s="26"/>
      <c r="K31" s="12"/>
      <c r="L31" s="4"/>
      <c r="M31" s="45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27"/>
      <c r="B32" s="28"/>
      <c r="C32" s="59">
        <v>3.0</v>
      </c>
      <c r="D32" s="60" t="s">
        <v>15</v>
      </c>
      <c r="E32" s="60" t="s">
        <v>23</v>
      </c>
      <c r="F32" s="64">
        <v>13.4</v>
      </c>
      <c r="G32" s="23">
        <v>364.0</v>
      </c>
      <c r="H32" s="65"/>
      <c r="I32" s="31"/>
      <c r="J32" s="26"/>
      <c r="K32" s="12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27"/>
      <c r="B33" s="28"/>
      <c r="C33" s="59">
        <v>4.0</v>
      </c>
      <c r="D33" s="60" t="s">
        <v>15</v>
      </c>
      <c r="E33" s="60" t="s">
        <v>23</v>
      </c>
      <c r="F33" s="64">
        <v>10.8</v>
      </c>
      <c r="G33" s="23">
        <v>375.0</v>
      </c>
      <c r="H33" s="65"/>
      <c r="I33" s="31"/>
      <c r="J33" s="26"/>
      <c r="K33" s="12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27"/>
      <c r="B34" s="28"/>
      <c r="C34" s="59">
        <v>5.0</v>
      </c>
      <c r="D34" s="60" t="s">
        <v>15</v>
      </c>
      <c r="E34" s="60" t="s">
        <v>23</v>
      </c>
      <c r="F34" s="64">
        <v>2.0</v>
      </c>
      <c r="G34" s="23">
        <v>369.0</v>
      </c>
      <c r="H34" s="65"/>
      <c r="I34" s="31"/>
      <c r="J34" s="26"/>
      <c r="K34" s="12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27"/>
      <c r="B35" s="33"/>
      <c r="C35" s="66">
        <v>6.0</v>
      </c>
      <c r="D35" s="69" t="s">
        <v>15</v>
      </c>
      <c r="E35" s="69" t="s">
        <v>23</v>
      </c>
      <c r="F35" s="67">
        <v>9.6</v>
      </c>
      <c r="G35" s="53">
        <v>365.0</v>
      </c>
      <c r="H35" s="68"/>
      <c r="I35" s="38"/>
      <c r="J35" s="26"/>
      <c r="K35" s="12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27"/>
      <c r="B36" s="39" t="s">
        <v>17</v>
      </c>
      <c r="C36" s="59">
        <v>1.0</v>
      </c>
      <c r="D36" s="60" t="s">
        <v>15</v>
      </c>
      <c r="E36" s="60" t="s">
        <v>23</v>
      </c>
      <c r="F36" s="61">
        <v>15.9</v>
      </c>
      <c r="G36" s="62">
        <v>369.0</v>
      </c>
      <c r="H36" s="63"/>
      <c r="I36" s="25">
        <f>AVERAGE(F36,F37,F38)</f>
        <v>14.4</v>
      </c>
      <c r="J36" s="26"/>
      <c r="K36" s="26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27"/>
      <c r="B37" s="28"/>
      <c r="C37" s="59">
        <v>2.0</v>
      </c>
      <c r="D37" s="60" t="s">
        <v>15</v>
      </c>
      <c r="E37" s="60" t="s">
        <v>23</v>
      </c>
      <c r="F37" s="64">
        <v>12.7</v>
      </c>
      <c r="G37" s="62">
        <v>373.0</v>
      </c>
      <c r="H37" s="65"/>
      <c r="I37" s="31"/>
      <c r="J37" s="26"/>
      <c r="K37" s="26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27"/>
      <c r="B38" s="28"/>
      <c r="C38" s="59">
        <v>3.0</v>
      </c>
      <c r="D38" s="60" t="s">
        <v>15</v>
      </c>
      <c r="E38" s="60" t="s">
        <v>23</v>
      </c>
      <c r="F38" s="64">
        <v>14.6</v>
      </c>
      <c r="G38" s="62">
        <v>363.0</v>
      </c>
      <c r="H38" s="65"/>
      <c r="I38" s="31"/>
      <c r="J38" s="26"/>
      <c r="K38" s="26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27"/>
      <c r="B39" s="28"/>
      <c r="C39" s="59">
        <v>4.0</v>
      </c>
      <c r="D39" s="60" t="s">
        <v>15</v>
      </c>
      <c r="E39" s="60" t="s">
        <v>23</v>
      </c>
      <c r="F39" s="64">
        <v>4.8</v>
      </c>
      <c r="G39" s="62">
        <v>366.0</v>
      </c>
      <c r="H39" s="65"/>
      <c r="I39" s="31"/>
      <c r="J39" s="26"/>
      <c r="K39" s="26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27"/>
      <c r="B40" s="28"/>
      <c r="C40" s="59">
        <v>5.0</v>
      </c>
      <c r="D40" s="60" t="s">
        <v>15</v>
      </c>
      <c r="E40" s="60" t="s">
        <v>23</v>
      </c>
      <c r="F40" s="64">
        <v>5.7</v>
      </c>
      <c r="G40" s="62">
        <v>364.0</v>
      </c>
      <c r="H40" s="65"/>
      <c r="I40" s="31"/>
      <c r="J40" s="26"/>
      <c r="K40" s="26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2"/>
      <c r="B41" s="33"/>
      <c r="C41" s="66">
        <v>6.0</v>
      </c>
      <c r="D41" s="69" t="s">
        <v>15</v>
      </c>
      <c r="E41" s="69" t="s">
        <v>23</v>
      </c>
      <c r="F41" s="67">
        <v>11.3</v>
      </c>
      <c r="G41" s="53">
        <v>369.0</v>
      </c>
      <c r="H41" s="68"/>
      <c r="I41" s="38"/>
      <c r="J41" s="26"/>
      <c r="K41" s="26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3" t="s">
        <v>33</v>
      </c>
      <c r="B42" s="39" t="s">
        <v>14</v>
      </c>
      <c r="C42" s="59">
        <v>1.0</v>
      </c>
      <c r="D42" s="60" t="s">
        <v>15</v>
      </c>
      <c r="E42" s="60" t="s">
        <v>23</v>
      </c>
      <c r="F42" s="61">
        <v>14.9</v>
      </c>
      <c r="G42" s="62">
        <v>371.0</v>
      </c>
      <c r="H42" s="63"/>
      <c r="I42" s="25">
        <f>AVERAGE(F42,F43,F44)</f>
        <v>11.5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27"/>
      <c r="B43" s="28"/>
      <c r="C43" s="59">
        <v>2.0</v>
      </c>
      <c r="D43" s="60" t="s">
        <v>15</v>
      </c>
      <c r="E43" s="60" t="s">
        <v>23</v>
      </c>
      <c r="F43" s="64">
        <v>11.8</v>
      </c>
      <c r="G43" s="62">
        <v>367.0</v>
      </c>
      <c r="H43" s="65"/>
      <c r="I43" s="31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27"/>
      <c r="B44" s="28"/>
      <c r="C44" s="59">
        <v>3.0</v>
      </c>
      <c r="D44" s="60" t="s">
        <v>15</v>
      </c>
      <c r="E44" s="60" t="s">
        <v>23</v>
      </c>
      <c r="F44" s="64">
        <v>7.8</v>
      </c>
      <c r="G44" s="62">
        <v>369.0</v>
      </c>
      <c r="H44" s="65"/>
      <c r="I44" s="31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27"/>
      <c r="B45" s="28"/>
      <c r="C45" s="59">
        <v>4.0</v>
      </c>
      <c r="D45" s="60" t="s">
        <v>15</v>
      </c>
      <c r="E45" s="60" t="s">
        <v>23</v>
      </c>
      <c r="F45" s="64">
        <v>4.1</v>
      </c>
      <c r="G45" s="62">
        <v>369.0</v>
      </c>
      <c r="H45" s="65"/>
      <c r="I45" s="31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27"/>
      <c r="B46" s="28"/>
      <c r="C46" s="59">
        <v>5.0</v>
      </c>
      <c r="D46" s="60" t="s">
        <v>15</v>
      </c>
      <c r="E46" s="60" t="s">
        <v>23</v>
      </c>
      <c r="F46" s="64">
        <v>1.0</v>
      </c>
      <c r="G46" s="62">
        <v>371.0</v>
      </c>
      <c r="H46" s="65"/>
      <c r="I46" s="31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27"/>
      <c r="B47" s="33"/>
      <c r="C47" s="66">
        <v>6.0</v>
      </c>
      <c r="D47" s="69" t="s">
        <v>15</v>
      </c>
      <c r="E47" s="69" t="s">
        <v>23</v>
      </c>
      <c r="F47" s="67">
        <v>7.8</v>
      </c>
      <c r="G47" s="53">
        <v>363.0</v>
      </c>
      <c r="H47" s="68"/>
      <c r="I47" s="38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27"/>
      <c r="B48" s="39" t="s">
        <v>17</v>
      </c>
      <c r="C48" s="59">
        <v>1.0</v>
      </c>
      <c r="D48" s="60" t="s">
        <v>15</v>
      </c>
      <c r="E48" s="60" t="s">
        <v>23</v>
      </c>
      <c r="F48" s="61">
        <v>13.8</v>
      </c>
      <c r="G48" s="62">
        <v>369.0</v>
      </c>
      <c r="H48" s="63"/>
      <c r="I48" s="25">
        <f>AVERAGE(F48,F49,F50)</f>
        <v>13.66666667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27"/>
      <c r="B49" s="28"/>
      <c r="C49" s="59">
        <v>2.0</v>
      </c>
      <c r="D49" s="60" t="s">
        <v>15</v>
      </c>
      <c r="E49" s="60" t="s">
        <v>23</v>
      </c>
      <c r="F49" s="64">
        <v>14.1</v>
      </c>
      <c r="G49" s="62">
        <v>373.0</v>
      </c>
      <c r="H49" s="65"/>
      <c r="I49" s="31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27"/>
      <c r="B50" s="28"/>
      <c r="C50" s="59">
        <v>3.0</v>
      </c>
      <c r="D50" s="60" t="s">
        <v>15</v>
      </c>
      <c r="E50" s="60" t="s">
        <v>23</v>
      </c>
      <c r="F50" s="64">
        <v>13.1</v>
      </c>
      <c r="G50" s="62">
        <v>370.0</v>
      </c>
      <c r="H50" s="65"/>
      <c r="I50" s="31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27"/>
      <c r="B51" s="28"/>
      <c r="C51" s="59">
        <v>4.0</v>
      </c>
      <c r="D51" s="60" t="s">
        <v>15</v>
      </c>
      <c r="E51" s="60" t="s">
        <v>23</v>
      </c>
      <c r="F51" s="64">
        <v>1.4</v>
      </c>
      <c r="G51" s="62">
        <v>376.0</v>
      </c>
      <c r="H51" s="65"/>
      <c r="I51" s="31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27"/>
      <c r="B52" s="28"/>
      <c r="C52" s="59">
        <v>5.0</v>
      </c>
      <c r="D52" s="60" t="s">
        <v>15</v>
      </c>
      <c r="E52" s="60" t="s">
        <v>23</v>
      </c>
      <c r="F52" s="64">
        <v>6.4</v>
      </c>
      <c r="G52" s="62">
        <v>364.0</v>
      </c>
      <c r="H52" s="65"/>
      <c r="I52" s="31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2"/>
      <c r="B53" s="33"/>
      <c r="C53" s="66">
        <v>6.0</v>
      </c>
      <c r="D53" s="69" t="s">
        <v>15</v>
      </c>
      <c r="E53" s="69" t="s">
        <v>23</v>
      </c>
      <c r="F53" s="67">
        <v>5.7</v>
      </c>
      <c r="G53" s="53">
        <v>416.0</v>
      </c>
      <c r="H53" s="68"/>
      <c r="I53" s="38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3" t="s">
        <v>34</v>
      </c>
      <c r="B54" s="39" t="s">
        <v>14</v>
      </c>
      <c r="C54" s="59">
        <v>1.0</v>
      </c>
      <c r="D54" s="60" t="s">
        <v>15</v>
      </c>
      <c r="E54" s="60"/>
      <c r="F54" s="70"/>
      <c r="G54" s="71"/>
      <c r="H54" s="63"/>
      <c r="I54" s="25" t="str">
        <f>AVERAGE(F54,F55,F56)</f>
        <v>#DIV/0!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27"/>
      <c r="B55" s="28"/>
      <c r="C55" s="59">
        <v>2.0</v>
      </c>
      <c r="D55" s="60" t="s">
        <v>15</v>
      </c>
      <c r="E55" s="60"/>
      <c r="F55" s="72"/>
      <c r="G55" s="71"/>
      <c r="H55" s="65"/>
      <c r="I55" s="31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27"/>
      <c r="B56" s="28"/>
      <c r="C56" s="59">
        <v>3.0</v>
      </c>
      <c r="D56" s="60" t="s">
        <v>15</v>
      </c>
      <c r="E56" s="60"/>
      <c r="F56" s="72"/>
      <c r="G56" s="71"/>
      <c r="H56" s="65"/>
      <c r="I56" s="31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27"/>
      <c r="B57" s="28"/>
      <c r="C57" s="59">
        <v>4.0</v>
      </c>
      <c r="D57" s="60" t="s">
        <v>15</v>
      </c>
      <c r="E57" s="60"/>
      <c r="F57" s="72"/>
      <c r="G57" s="71"/>
      <c r="H57" s="65"/>
      <c r="I57" s="31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27"/>
      <c r="B58" s="28"/>
      <c r="C58" s="59">
        <v>5.0</v>
      </c>
      <c r="D58" s="60" t="s">
        <v>15</v>
      </c>
      <c r="E58" s="60"/>
      <c r="F58" s="72"/>
      <c r="G58" s="71"/>
      <c r="H58" s="65"/>
      <c r="I58" s="31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27"/>
      <c r="B59" s="33"/>
      <c r="C59" s="66">
        <v>6.0</v>
      </c>
      <c r="D59" s="69" t="s">
        <v>15</v>
      </c>
      <c r="E59" s="69"/>
      <c r="F59" s="73"/>
      <c r="G59" s="74"/>
      <c r="H59" s="68"/>
      <c r="I59" s="38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27"/>
      <c r="B60" s="39" t="s">
        <v>17</v>
      </c>
      <c r="C60" s="59">
        <v>1.0</v>
      </c>
      <c r="D60" s="60" t="s">
        <v>15</v>
      </c>
      <c r="E60" s="60"/>
      <c r="F60" s="70"/>
      <c r="G60" s="71"/>
      <c r="H60" s="63"/>
      <c r="I60" s="25" t="str">
        <f>AVERAGE(F60,F61,F62)</f>
        <v>#DIV/0!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27"/>
      <c r="B61" s="28"/>
      <c r="C61" s="59">
        <v>2.0</v>
      </c>
      <c r="D61" s="60" t="s">
        <v>15</v>
      </c>
      <c r="E61" s="60"/>
      <c r="F61" s="72"/>
      <c r="G61" s="71"/>
      <c r="H61" s="65"/>
      <c r="I61" s="31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27"/>
      <c r="B62" s="28"/>
      <c r="C62" s="59">
        <v>3.0</v>
      </c>
      <c r="D62" s="60" t="s">
        <v>15</v>
      </c>
      <c r="E62" s="60"/>
      <c r="F62" s="72"/>
      <c r="G62" s="71"/>
      <c r="H62" s="65"/>
      <c r="I62" s="31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27"/>
      <c r="B63" s="28"/>
      <c r="C63" s="59">
        <v>4.0</v>
      </c>
      <c r="D63" s="60" t="s">
        <v>15</v>
      </c>
      <c r="E63" s="60"/>
      <c r="F63" s="72"/>
      <c r="G63" s="71"/>
      <c r="H63" s="65"/>
      <c r="I63" s="31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27"/>
      <c r="B64" s="28"/>
      <c r="C64" s="59">
        <v>5.0</v>
      </c>
      <c r="D64" s="60" t="s">
        <v>15</v>
      </c>
      <c r="E64" s="60"/>
      <c r="F64" s="72"/>
      <c r="G64" s="71"/>
      <c r="H64" s="65"/>
      <c r="I64" s="31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2"/>
      <c r="B65" s="33"/>
      <c r="C65" s="66">
        <v>6.0</v>
      </c>
      <c r="D65" s="69" t="s">
        <v>15</v>
      </c>
      <c r="E65" s="69"/>
      <c r="F65" s="73"/>
      <c r="G65" s="74"/>
      <c r="H65" s="68"/>
      <c r="I65" s="38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3" t="s">
        <v>35</v>
      </c>
      <c r="B66" s="39" t="s">
        <v>14</v>
      </c>
      <c r="C66" s="59">
        <v>1.0</v>
      </c>
      <c r="D66" s="60" t="s">
        <v>15</v>
      </c>
      <c r="E66" s="60"/>
      <c r="F66" s="70"/>
      <c r="G66" s="71"/>
      <c r="H66" s="63"/>
      <c r="I66" s="25" t="str">
        <f>AVERAGE(F66,F67,F68)</f>
        <v>#DIV/0!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27"/>
      <c r="B67" s="28"/>
      <c r="C67" s="59">
        <v>2.0</v>
      </c>
      <c r="D67" s="60" t="s">
        <v>15</v>
      </c>
      <c r="E67" s="60"/>
      <c r="F67" s="72"/>
      <c r="G67" s="71"/>
      <c r="H67" s="65"/>
      <c r="I67" s="31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27"/>
      <c r="B68" s="28"/>
      <c r="C68" s="59">
        <v>3.0</v>
      </c>
      <c r="D68" s="60" t="s">
        <v>15</v>
      </c>
      <c r="E68" s="60"/>
      <c r="F68" s="72"/>
      <c r="G68" s="71"/>
      <c r="H68" s="65"/>
      <c r="I68" s="31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27"/>
      <c r="B69" s="28"/>
      <c r="C69" s="59">
        <v>4.0</v>
      </c>
      <c r="D69" s="60" t="s">
        <v>15</v>
      </c>
      <c r="E69" s="60"/>
      <c r="F69" s="72"/>
      <c r="G69" s="71"/>
      <c r="H69" s="65"/>
      <c r="I69" s="31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27"/>
      <c r="B70" s="28"/>
      <c r="C70" s="59">
        <v>5.0</v>
      </c>
      <c r="D70" s="60" t="s">
        <v>15</v>
      </c>
      <c r="E70" s="60"/>
      <c r="F70" s="72"/>
      <c r="G70" s="71"/>
      <c r="H70" s="65"/>
      <c r="I70" s="31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27"/>
      <c r="B71" s="33"/>
      <c r="C71" s="66">
        <v>6.0</v>
      </c>
      <c r="D71" s="69" t="s">
        <v>15</v>
      </c>
      <c r="E71" s="66"/>
      <c r="F71" s="73"/>
      <c r="G71" s="74"/>
      <c r="H71" s="68"/>
      <c r="I71" s="38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27"/>
      <c r="B72" s="39" t="s">
        <v>17</v>
      </c>
      <c r="C72" s="59">
        <v>1.0</v>
      </c>
      <c r="D72" s="60" t="s">
        <v>15</v>
      </c>
      <c r="E72" s="60"/>
      <c r="F72" s="70"/>
      <c r="G72" s="71"/>
      <c r="H72" s="63"/>
      <c r="I72" s="25" t="str">
        <f>AVERAGE(F72,F73,F74)</f>
        <v>#DIV/0!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27"/>
      <c r="B73" s="28"/>
      <c r="C73" s="59">
        <v>2.0</v>
      </c>
      <c r="D73" s="60" t="s">
        <v>15</v>
      </c>
      <c r="E73" s="60"/>
      <c r="F73" s="72"/>
      <c r="G73" s="71"/>
      <c r="H73" s="65"/>
      <c r="I73" s="31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27"/>
      <c r="B74" s="28"/>
      <c r="C74" s="59">
        <v>3.0</v>
      </c>
      <c r="D74" s="60" t="s">
        <v>15</v>
      </c>
      <c r="E74" s="60"/>
      <c r="F74" s="72"/>
      <c r="G74" s="71"/>
      <c r="H74" s="65"/>
      <c r="I74" s="31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27"/>
      <c r="B75" s="28"/>
      <c r="C75" s="59">
        <v>4.0</v>
      </c>
      <c r="D75" s="60" t="s">
        <v>15</v>
      </c>
      <c r="E75" s="60"/>
      <c r="F75" s="72"/>
      <c r="G75" s="71"/>
      <c r="H75" s="65"/>
      <c r="I75" s="31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27"/>
      <c r="B76" s="28"/>
      <c r="C76" s="59">
        <v>5.0</v>
      </c>
      <c r="D76" s="60" t="s">
        <v>15</v>
      </c>
      <c r="E76" s="60"/>
      <c r="F76" s="72"/>
      <c r="G76" s="71"/>
      <c r="H76" s="65"/>
      <c r="I76" s="31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55"/>
      <c r="B77" s="56"/>
      <c r="C77" s="66">
        <v>6.0</v>
      </c>
      <c r="D77" s="69" t="s">
        <v>15</v>
      </c>
      <c r="E77" s="66"/>
      <c r="F77" s="73"/>
      <c r="G77" s="74"/>
      <c r="H77" s="68"/>
      <c r="I77" s="38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</sheetData>
  <mergeCells count="33">
    <mergeCell ref="B1:I1"/>
    <mergeCell ref="C2:D2"/>
    <mergeCell ref="C3:I3"/>
    <mergeCell ref="B6:B11"/>
    <mergeCell ref="I6:I11"/>
    <mergeCell ref="B12:B17"/>
    <mergeCell ref="I12:I17"/>
    <mergeCell ref="B36:B41"/>
    <mergeCell ref="B42:B47"/>
    <mergeCell ref="A42:A53"/>
    <mergeCell ref="A54:A65"/>
    <mergeCell ref="A66:A77"/>
    <mergeCell ref="B54:B59"/>
    <mergeCell ref="B60:B65"/>
    <mergeCell ref="B66:B71"/>
    <mergeCell ref="B72:B77"/>
    <mergeCell ref="A6:A17"/>
    <mergeCell ref="A18:A29"/>
    <mergeCell ref="B18:B23"/>
    <mergeCell ref="B24:B29"/>
    <mergeCell ref="A30:A41"/>
    <mergeCell ref="B30:B35"/>
    <mergeCell ref="B48:B53"/>
    <mergeCell ref="I60:I65"/>
    <mergeCell ref="I66:I71"/>
    <mergeCell ref="I72:I77"/>
    <mergeCell ref="I18:I23"/>
    <mergeCell ref="I24:I29"/>
    <mergeCell ref="I30:I35"/>
    <mergeCell ref="I36:I41"/>
    <mergeCell ref="I42:I47"/>
    <mergeCell ref="I48:I53"/>
    <mergeCell ref="I54:I59"/>
  </mergeCells>
  <printOptions gridLines="1" horizontalCentered="1"/>
  <pageMargins bottom="0.75" footer="0.0" header="0.0" left="0.25" right="0.25" top="0.75"/>
  <pageSetup paperSize="9" scale="80" cellComments="atEnd" orientation="landscape" pageOrder="overThenDown"/>
  <drawing r:id="rId1"/>
</worksheet>
</file>